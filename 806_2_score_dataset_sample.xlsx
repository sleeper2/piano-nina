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stats" sheetId="2" state="visible" r:id="rId2"/>
    <sheet name="composers" sheetId="3" state="visible" r:id="rId3"/>
    <sheet name="composer_mapping" sheetId="4" state="visible" r:id="rId4"/>
  </sheets>
  <definedNames>
    <definedName name="_xlnm._FilterDatabase" localSheetId="0" hidden="1">'dataset'!$A$1:$J$807</definedName>
    <definedName name="_xlnm._FilterDatabase" localSheetId="2" hidden="1">'composers'!$A$1:$G$506</definedName>
    <definedName name="_xlnm._FilterDatabase" localSheetId="3" hidden="1">'composer_mapping'!$A$1:$D$538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4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bpm from the source file, or bpm_db where bpm is empty (never both set).</t>
      </text>
    </comment>
    <comment ref="I1" authorId="0" shapeId="0">
      <text>
        <t>Pitched/unpitched note heads across all parts: chord tones and grace notes count, rests and cue notes do not; tied notes count each head.</t>
      </text>
    </comment>
    <comment ref="J1" authorId="0" shapeId="0">
      <text>
        <t>&lt;measure&gt; elements in the first part; repeats are not unrolled.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40" customWidth="1" min="4" max="4"/>
    <col width="40" customWidth="1" min="5" max="5"/>
    <col width="8" customWidth="1" min="6" max="6"/>
    <col width="22" customWidth="1" min="7" max="7"/>
    <col width="50" customWidth="1" min="8" max="8"/>
    <col width="12" customWidth="1" min="9" max="9"/>
    <col width="14" customWidth="1" min="10" max="10"/>
  </cols>
  <sheetData>
    <row r="1">
      <c r="A1" s="1" t="inlineStr">
        <is>
          <t>file_name</t>
        </is>
      </c>
      <c r="B1" s="1" t="inlineStr">
        <is>
          <t>Сложность (число)</t>
        </is>
      </c>
      <c r="C1" s="1" t="inlineStr">
        <is>
          <t>composer</t>
        </is>
      </c>
      <c r="D1" s="1" t="inlineStr">
        <is>
          <t>song_name</t>
        </is>
      </c>
      <c r="E1" s="1" t="inlineStr">
        <is>
          <t>validator_note</t>
        </is>
      </c>
      <c r="F1" s="1" t="inlineStr">
        <is>
          <t>bpm</t>
        </is>
      </c>
      <c r="G1" s="1" t="inlineStr">
        <is>
          <t>fact</t>
        </is>
      </c>
      <c r="H1" s="1" t="inlineStr">
        <is>
          <t>tempo_note</t>
        </is>
      </c>
      <c r="I1" s="1" t="inlineStr">
        <is>
          <t>notes_count</t>
        </is>
      </c>
      <c r="J1" s="1" t="inlineStr">
        <is>
          <t>measures_count</t>
        </is>
      </c>
    </row>
    <row r="2">
      <c r="A2" s="2" t="inlineStr">
        <is>
          <t>score_1.musicxml</t>
        </is>
      </c>
      <c r="B2" s="2" t="n">
        <v>8</v>
      </c>
      <c r="C2" s="2" t="inlineStr">
        <is>
          <t>Nikolai Rimsky-Korsakov</t>
        </is>
      </c>
      <c r="D2" s="2" t="inlineStr">
        <is>
          <t>The flight of the Bumblebee Korsakov arr. Rachmaninov</t>
        </is>
      </c>
      <c r="E2" s="2" t="n"/>
      <c r="F2" s="2" t="n">
        <v>176</v>
      </c>
      <c r="G2" s="2" t="inlineStr">
        <is>
          <t>text_only</t>
        </is>
      </c>
      <c r="H2" s="2" t="inlineStr">
        <is>
          <t>text-only tempo 'Vivace' (playback tempo 144, not printed)</t>
        </is>
      </c>
      <c r="I2" s="2" t="n">
        <v>1160</v>
      </c>
      <c r="J2" s="2" t="n">
        <v>103</v>
      </c>
    </row>
    <row r="3">
      <c r="A3" s="2" t="inlineStr">
        <is>
          <t>score_2.musicxml</t>
        </is>
      </c>
      <c r="B3" s="2" t="n">
        <v>9</v>
      </c>
      <c r="C3" s="2" t="inlineStr">
        <is>
          <t>Mily Balakirev</t>
        </is>
      </c>
      <c r="D3" s="2" t="inlineStr">
        <is>
          <t>Islamey</t>
        </is>
      </c>
      <c r="E3" s="2" t="n"/>
      <c r="F3" s="2" t="n">
        <v>152</v>
      </c>
      <c r="G3" s="2" t="inlineStr">
        <is>
          <t>text_only</t>
        </is>
      </c>
      <c r="H3" s="2" t="inlineStr">
        <is>
          <t>text-only tempo 'Allegro agitato' (playback tempo 134, not printed)</t>
        </is>
      </c>
      <c r="I3" s="2" t="n">
        <v>8501</v>
      </c>
      <c r="J3" s="2" t="n">
        <v>346</v>
      </c>
    </row>
    <row r="4">
      <c r="A4" s="2" t="inlineStr">
        <is>
          <t>score_3.musicxml</t>
        </is>
      </c>
      <c r="B4" s="2" t="n">
        <v>4</v>
      </c>
      <c r="C4" s="2" t="inlineStr">
        <is>
          <t>François Couperin</t>
        </is>
      </c>
      <c r="D4" s="2" t="inlineStr">
        <is>
          <t>L'Auguste</t>
        </is>
      </c>
      <c r="E4" s="2" t="n"/>
      <c r="F4" s="2" t="n">
        <v>80</v>
      </c>
      <c r="G4" s="2" t="inlineStr">
        <is>
          <t>text_only</t>
        </is>
      </c>
      <c r="H4" s="2" t="inlineStr">
        <is>
          <t>text-only tempo 'Moderato' (playback tempo 45, not printed)</t>
        </is>
      </c>
      <c r="I4" s="2" t="n">
        <v>656</v>
      </c>
      <c r="J4" s="2" t="n">
        <v>22</v>
      </c>
    </row>
    <row r="5">
      <c r="A5" s="2" t="inlineStr">
        <is>
          <t>score_4.musicxml</t>
        </is>
      </c>
      <c r="B5" s="2" t="n">
        <v>7</v>
      </c>
      <c r="C5" s="2" t="inlineStr">
        <is>
          <t>Carl Czerny</t>
        </is>
      </c>
      <c r="D5" s="2" t="inlineStr">
        <is>
          <t>Op. 299 No. 1</t>
        </is>
      </c>
      <c r="E5" s="2" t="n"/>
      <c r="F5" s="2" t="n">
        <v>216</v>
      </c>
      <c r="G5" s="2" t="inlineStr">
        <is>
          <t>non_quarter_unit; parenthesized</t>
        </is>
      </c>
      <c r="H5" s="2" t="n"/>
      <c r="I5" s="2" t="n">
        <v>392</v>
      </c>
      <c r="J5" s="2" t="n">
        <v>22</v>
      </c>
    </row>
    <row r="6">
      <c r="A6" s="2" t="inlineStr">
        <is>
          <t>score_5.musicxml</t>
        </is>
      </c>
      <c r="B6" s="2" t="n">
        <v>1</v>
      </c>
      <c r="C6" s="2" t="inlineStr">
        <is>
          <t>Gioachino Rossini</t>
        </is>
      </c>
      <c r="D6" s="2" t="inlineStr">
        <is>
          <t>William Tell</t>
        </is>
      </c>
      <c r="E6" s="2" t="n"/>
      <c r="F6" s="2" t="n">
        <v>120</v>
      </c>
      <c r="G6" s="2" t="inlineStr">
        <is>
          <t>text_only</t>
        </is>
      </c>
      <c r="H6" s="2" t="inlineStr">
        <is>
          <t>text-only tempo 'Allegro' (playback tempo 180, not printed)</t>
        </is>
      </c>
      <c r="I6" s="2" t="n">
        <v>106</v>
      </c>
      <c r="J6" s="2" t="n">
        <v>18</v>
      </c>
    </row>
  </sheetData>
  <autoFilter ref="A1:J80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Scores in dataset</t>
        </is>
      </c>
      <c r="B2" s="2">
        <f>COUNTA(dataset!$C$2:$C$807)</f>
        <v/>
      </c>
      <c r="C2" s="2" t="n"/>
      <c r="D2" s="2" t="n"/>
      <c r="E2" s="2" t="n"/>
      <c r="F2" s="2" t="n"/>
    </row>
    <row r="3">
      <c r="A3" s="2" t="inlineStr">
        <is>
          <t>Scores with musicxml</t>
        </is>
      </c>
      <c r="B3" s="2">
        <f>COUNT(dataset!$I$2:$I$807)</f>
        <v/>
      </c>
      <c r="C3" s="2" t="n"/>
      <c r="D3" s="2" t="n"/>
      <c r="E3" s="2" t="n"/>
      <c r="F3" s="2" t="n"/>
    </row>
    <row r="4">
      <c r="A4" s="2" t="inlineStr">
        <is>
          <t>Unique composers</t>
        </is>
      </c>
      <c r="B4" s="2">
        <f>COUNTA(composers!$A$2:$A$506)</f>
        <v/>
      </c>
      <c r="C4" s="2" t="n"/>
      <c r="D4" s="2" t="n"/>
      <c r="E4" s="2" t="n"/>
      <c r="F4" s="2" t="n"/>
    </row>
    <row r="5">
      <c r="A5" s="2" t="inlineStr">
        <is>
          <t>Total notes</t>
        </is>
      </c>
      <c r="B5" s="2">
        <f>SUM(dataset!$I$2:$I$807)</f>
        <v/>
      </c>
      <c r="C5" s="2" t="n"/>
      <c r="D5" s="2" t="n"/>
      <c r="E5" s="2" t="n"/>
      <c r="F5" s="2" t="n"/>
    </row>
    <row r="6">
      <c r="A6" s="2" t="inlineStr">
        <is>
          <t>Notes per score: mean</t>
        </is>
      </c>
      <c r="B6" s="3">
        <f>AVERAGE(dataset!$I$2:$I$807)</f>
        <v/>
      </c>
      <c r="C6" s="2" t="n"/>
      <c r="D6" s="2" t="n"/>
      <c r="E6" s="2" t="n"/>
      <c r="F6" s="2" t="n"/>
    </row>
    <row r="7">
      <c r="A7" s="2" t="inlineStr">
        <is>
          <t>Notes per score: median</t>
        </is>
      </c>
      <c r="B7" s="3">
        <f>MEDIAN(dataset!$I$2:$I$807)</f>
        <v/>
      </c>
      <c r="C7" s="2" t="n"/>
      <c r="D7" s="2" t="n"/>
      <c r="E7" s="2" t="n"/>
      <c r="F7" s="2" t="n"/>
    </row>
    <row r="8">
      <c r="A8" s="2" t="inlineStr">
        <is>
          <t>Notes per score: min</t>
        </is>
      </c>
      <c r="B8" s="2">
        <f>MIN(dataset!$I$2:$I$807)</f>
        <v/>
      </c>
      <c r="C8" s="2" t="n"/>
      <c r="D8" s="2" t="n"/>
      <c r="E8" s="2" t="n"/>
      <c r="F8" s="2" t="n"/>
    </row>
    <row r="9">
      <c r="A9" s="2" t="inlineStr">
        <is>
          <t>Notes per score: max</t>
        </is>
      </c>
      <c r="B9" s="2">
        <f>MAX(dataset!$I$2:$I$807)</f>
        <v/>
      </c>
      <c r="C9" s="2" t="n"/>
      <c r="D9" s="2" t="n"/>
      <c r="E9" s="2" t="n"/>
      <c r="F9" s="2" t="n"/>
    </row>
    <row r="10">
      <c r="A10" s="2" t="inlineStr">
        <is>
          <t>Total measures</t>
        </is>
      </c>
      <c r="B10" s="2">
        <f>SUM(dataset!$J$2:$J$807)</f>
        <v/>
      </c>
      <c r="C10" s="2" t="n"/>
      <c r="D10" s="2" t="n"/>
      <c r="E10" s="2" t="n"/>
      <c r="F10" s="2" t="n"/>
    </row>
    <row r="11">
      <c r="A11" s="2" t="inlineStr">
        <is>
          <t>Measures per score: mean</t>
        </is>
      </c>
      <c r="B11" s="3">
        <f>AVERAGE(dataset!$J$2:$J$807)</f>
        <v/>
      </c>
      <c r="C11" s="2" t="n"/>
      <c r="D11" s="2" t="n"/>
      <c r="E11" s="2" t="n"/>
      <c r="F11" s="2" t="n"/>
    </row>
    <row r="12">
      <c r="A12" s="2" t="inlineStr">
        <is>
          <t>Measures per score: median</t>
        </is>
      </c>
      <c r="B12" s="3">
        <f>MEDIAN(dataset!$J$2:$J$807)</f>
        <v/>
      </c>
      <c r="C12" s="2" t="n"/>
      <c r="D12" s="2" t="n"/>
      <c r="E12" s="2" t="n"/>
      <c r="F12" s="2" t="n"/>
    </row>
    <row r="13">
      <c r="A13" s="2" t="inlineStr">
        <is>
          <t>Measures per score: min</t>
        </is>
      </c>
      <c r="B13" s="2">
        <f>MIN(dataset!$J$2:$J$807)</f>
        <v/>
      </c>
      <c r="C13" s="2" t="n"/>
      <c r="D13" s="2" t="n"/>
      <c r="E13" s="2" t="n"/>
      <c r="F13" s="2" t="n"/>
    </row>
    <row r="14">
      <c r="A14" s="2" t="inlineStr">
        <is>
          <t>Measures per score: max</t>
        </is>
      </c>
      <c r="B14" s="2">
        <f>MAX(dataset!$J$2:$J$807)</f>
        <v/>
      </c>
      <c r="C14" s="2" t="n"/>
      <c r="D14" s="2" t="n"/>
      <c r="E14" s="2" t="n"/>
      <c r="F14" s="2" t="n"/>
    </row>
    <row r="15">
      <c r="A15" s="2" t="inlineStr">
        <is>
          <t>Notes per measure (total / total)</t>
        </is>
      </c>
      <c r="B15" s="3">
        <f>B5/B10</f>
        <v/>
      </c>
      <c r="C15" s="2" t="n"/>
      <c r="D15" s="2" t="n"/>
      <c r="E15" s="2" t="n"/>
      <c r="F15" s="2" t="n"/>
    </row>
    <row r="16">
      <c r="A16" s="4" t="n"/>
      <c r="B16" s="4" t="n"/>
      <c r="C16" s="4" t="n"/>
      <c r="D16" s="4" t="n"/>
      <c r="E16" s="4" t="n"/>
      <c r="F16" s="4" t="n"/>
    </row>
    <row r="17">
      <c r="A17" s="2" t="inlineStr">
        <is>
          <t>Сложность (число)</t>
        </is>
      </c>
      <c r="B17" s="2" t="inlineStr">
        <is>
          <t>Scores</t>
        </is>
      </c>
      <c r="C17" s="2" t="inlineStr">
        <is>
          <t>Avg notes</t>
        </is>
      </c>
      <c r="D17" s="2" t="inlineStr">
        <is>
          <t>Median notes</t>
        </is>
      </c>
      <c r="E17" s="2" t="inlineStr">
        <is>
          <t>Avg measures</t>
        </is>
      </c>
      <c r="F17" s="3" t="inlineStr">
        <is>
          <t>Avg notes/measure</t>
        </is>
      </c>
    </row>
    <row r="18">
      <c r="A18" s="2" t="n">
        <v>1</v>
      </c>
      <c r="B18" s="2">
        <f>COUNTIF(dataset!$B$2:$B$807,A18)</f>
        <v/>
      </c>
      <c r="C18" s="3">
        <f>IFERROR(AVERAGEIF(dataset!$B$2:$B$807,A18,dataset!$I$2:$I$807),"")</f>
        <v/>
      </c>
      <c r="D18" s="3">
        <f t="array" ref="D18">IFERROR(MEDIAN(IF(dataset!$B$2:$B$807=A18,IF(dataset!$I$2:$I$807&lt;&gt;"",dataset!$I$2:$I$807))),"")</f>
        <v/>
      </c>
      <c r="E18" s="3">
        <f>IFERROR(AVERAGEIF(dataset!$B$2:$B$807,A18,dataset!$J$2:$J$807),"")</f>
        <v/>
      </c>
      <c r="F18" s="3">
        <f>IFERROR(SUMIF(dataset!$B$2:$B$807,A18,dataset!$I$2:$I$807)/SUMIF(dataset!$B$2:$B$807,A18,dataset!$J$2:$J$807),"")</f>
        <v/>
      </c>
    </row>
    <row r="19">
      <c r="A19" s="2" t="n">
        <v>2</v>
      </c>
      <c r="B19" s="2">
        <f>COUNTIF(dataset!$B$2:$B$807,A19)</f>
        <v/>
      </c>
      <c r="C19" s="3">
        <f>IFERROR(AVERAGEIF(dataset!$B$2:$B$807,A19,dataset!$I$2:$I$807),"")</f>
        <v/>
      </c>
      <c r="D19" s="3">
        <f t="array" ref="D19">IFERROR(MEDIAN(IF(dataset!$B$2:$B$807=A19,IF(dataset!$I$2:$I$807&lt;&gt;"",dataset!$I$2:$I$807))),"")</f>
        <v/>
      </c>
      <c r="E19" s="3">
        <f>IFERROR(AVERAGEIF(dataset!$B$2:$B$807,A19,dataset!$J$2:$J$807),"")</f>
        <v/>
      </c>
      <c r="F19" s="3">
        <f>IFERROR(SUMIF(dataset!$B$2:$B$807,A19,dataset!$I$2:$I$807)/SUMIF(dataset!$B$2:$B$807,A19,dataset!$J$2:$J$807),"")</f>
        <v/>
      </c>
    </row>
    <row r="20">
      <c r="A20" s="2" t="n">
        <v>3</v>
      </c>
      <c r="B20" s="2">
        <f>COUNTIF(dataset!$B$2:$B$807,A20)</f>
        <v/>
      </c>
      <c r="C20" s="3">
        <f>IFERROR(AVERAGEIF(dataset!$B$2:$B$807,A20,dataset!$I$2:$I$807),"")</f>
        <v/>
      </c>
      <c r="D20" s="3">
        <f t="array" ref="D20">IFERROR(MEDIAN(IF(dataset!$B$2:$B$807=A20,IF(dataset!$I$2:$I$807&lt;&gt;"",dataset!$I$2:$I$807))),"")</f>
        <v/>
      </c>
      <c r="E20" s="3">
        <f>IFERROR(AVERAGEIF(dataset!$B$2:$B$807,A20,dataset!$J$2:$J$807),"")</f>
        <v/>
      </c>
      <c r="F20" s="3">
        <f>IFERROR(SUMIF(dataset!$B$2:$B$807,A20,dataset!$I$2:$I$807)/SUMIF(dataset!$B$2:$B$807,A20,dataset!$J$2:$J$807),"")</f>
        <v/>
      </c>
    </row>
    <row r="21">
      <c r="A21" s="2" t="n">
        <v>4</v>
      </c>
      <c r="B21" s="2">
        <f>COUNTIF(dataset!$B$2:$B$807,A21)</f>
        <v/>
      </c>
      <c r="C21" s="3">
        <f>IFERROR(AVERAGEIF(dataset!$B$2:$B$807,A21,dataset!$I$2:$I$807),"")</f>
        <v/>
      </c>
      <c r="D21" s="3">
        <f t="array" ref="D21">IFERROR(MEDIAN(IF(dataset!$B$2:$B$807=A21,IF(dataset!$I$2:$I$807&lt;&gt;"",dataset!$I$2:$I$807))),"")</f>
        <v/>
      </c>
      <c r="E21" s="3">
        <f>IFERROR(AVERAGEIF(dataset!$B$2:$B$807,A21,dataset!$J$2:$J$807),"")</f>
        <v/>
      </c>
      <c r="F21" s="3">
        <f>IFERROR(SUMIF(dataset!$B$2:$B$807,A21,dataset!$I$2:$I$807)/SUMIF(dataset!$B$2:$B$807,A21,dataset!$J$2:$J$807),"")</f>
        <v/>
      </c>
    </row>
    <row r="22">
      <c r="A22" s="2" t="n">
        <v>5</v>
      </c>
      <c r="B22" s="2">
        <f>COUNTIF(dataset!$B$2:$B$807,A22)</f>
        <v/>
      </c>
      <c r="C22" s="3">
        <f>IFERROR(AVERAGEIF(dataset!$B$2:$B$807,A22,dataset!$I$2:$I$807),"")</f>
        <v/>
      </c>
      <c r="D22" s="3">
        <f t="array" ref="D22">IFERROR(MEDIAN(IF(dataset!$B$2:$B$807=A22,IF(dataset!$I$2:$I$807&lt;&gt;"",dataset!$I$2:$I$807))),"")</f>
        <v/>
      </c>
      <c r="E22" s="3">
        <f>IFERROR(AVERAGEIF(dataset!$B$2:$B$807,A22,dataset!$J$2:$J$807),"")</f>
        <v/>
      </c>
      <c r="F22" s="3">
        <f>IFERROR(SUMIF(dataset!$B$2:$B$807,A22,dataset!$I$2:$I$807)/SUMIF(dataset!$B$2:$B$807,A22,dataset!$J$2:$J$807),"")</f>
        <v/>
      </c>
    </row>
    <row r="23">
      <c r="A23" s="2" t="n">
        <v>6</v>
      </c>
      <c r="B23" s="2">
        <f>COUNTIF(dataset!$B$2:$B$807,A23)</f>
        <v/>
      </c>
      <c r="C23" s="3">
        <f>IFERROR(AVERAGEIF(dataset!$B$2:$B$807,A23,dataset!$I$2:$I$807),"")</f>
        <v/>
      </c>
      <c r="D23" s="3">
        <f t="array" ref="D23">IFERROR(MEDIAN(IF(dataset!$B$2:$B$807=A23,IF(dataset!$I$2:$I$807&lt;&gt;"",dataset!$I$2:$I$807))),"")</f>
        <v/>
      </c>
      <c r="E23" s="3">
        <f>IFERROR(AVERAGEIF(dataset!$B$2:$B$807,A23,dataset!$J$2:$J$807),"")</f>
        <v/>
      </c>
      <c r="F23" s="3">
        <f>IFERROR(SUMIF(dataset!$B$2:$B$807,A23,dataset!$I$2:$I$807)/SUMIF(dataset!$B$2:$B$807,A23,dataset!$J$2:$J$807),"")</f>
        <v/>
      </c>
    </row>
    <row r="24">
      <c r="A24" s="2" t="n">
        <v>7</v>
      </c>
      <c r="B24" s="2">
        <f>COUNTIF(dataset!$B$2:$B$807,A24)</f>
        <v/>
      </c>
      <c r="C24" s="3">
        <f>IFERROR(AVERAGEIF(dataset!$B$2:$B$807,A24,dataset!$I$2:$I$807),"")</f>
        <v/>
      </c>
      <c r="D24" s="3">
        <f t="array" ref="D24">IFERROR(MEDIAN(IF(dataset!$B$2:$B$807=A24,IF(dataset!$I$2:$I$807&lt;&gt;"",dataset!$I$2:$I$807))),"")</f>
        <v/>
      </c>
      <c r="E24" s="3">
        <f>IFERROR(AVERAGEIF(dataset!$B$2:$B$807,A24,dataset!$J$2:$J$807),"")</f>
        <v/>
      </c>
      <c r="F24" s="3">
        <f>IFERROR(SUMIF(dataset!$B$2:$B$807,A24,dataset!$I$2:$I$807)/SUMIF(dataset!$B$2:$B$807,A24,dataset!$J$2:$J$807),"")</f>
        <v/>
      </c>
    </row>
    <row r="25">
      <c r="A25" s="2" t="n">
        <v>8</v>
      </c>
      <c r="B25" s="2">
        <f>COUNTIF(dataset!$B$2:$B$807,A25)</f>
        <v/>
      </c>
      <c r="C25" s="3">
        <f>IFERROR(AVERAGEIF(dataset!$B$2:$B$807,A25,dataset!$I$2:$I$807),"")</f>
        <v/>
      </c>
      <c r="D25" s="3">
        <f t="array" ref="D25">IFERROR(MEDIAN(IF(dataset!$B$2:$B$807=A25,IF(dataset!$I$2:$I$807&lt;&gt;"",dataset!$I$2:$I$807))),"")</f>
        <v/>
      </c>
      <c r="E25" s="3">
        <f>IFERROR(AVERAGEIF(dataset!$B$2:$B$807,A25,dataset!$J$2:$J$807),"")</f>
        <v/>
      </c>
      <c r="F25" s="3">
        <f>IFERROR(SUMIF(dataset!$B$2:$B$807,A25,dataset!$I$2:$I$807)/SUMIF(dataset!$B$2:$B$807,A25,dataset!$J$2:$J$807),"")</f>
        <v/>
      </c>
    </row>
    <row r="26">
      <c r="A26" s="2" t="n">
        <v>9</v>
      </c>
      <c r="B26" s="2">
        <f>COUNTIF(dataset!$B$2:$B$807,A26)</f>
        <v/>
      </c>
      <c r="C26" s="3">
        <f>IFERROR(AVERAGEIF(dataset!$B$2:$B$807,A26,dataset!$I$2:$I$807),"")</f>
        <v/>
      </c>
      <c r="D26" s="3">
        <f t="array" ref="D26">IFERROR(MEDIAN(IF(dataset!$B$2:$B$807=A26,IF(dataset!$I$2:$I$807&lt;&gt;"",dataset!$I$2:$I$807))),"")</f>
        <v/>
      </c>
      <c r="E26" s="3">
        <f>IFERROR(AVERAGEIF(dataset!$B$2:$B$807,A26,dataset!$J$2:$J$807),"")</f>
        <v/>
      </c>
      <c r="F26" s="3">
        <f>IFERROR(SUMIF(dataset!$B$2:$B$807,A26,dataset!$I$2:$I$807)/SUMIF(dataset!$B$2:$B$807,A26,dataset!$J$2:$J$807),"")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composer</t>
        </is>
      </c>
      <c r="B1" s="1" t="inlineStr">
        <is>
          <t>Scores</t>
        </is>
      </c>
      <c r="C1" s="1" t="inlineStr">
        <is>
          <t>Avg difficulty</t>
        </is>
      </c>
      <c r="D1" s="1" t="inlineStr">
        <is>
          <t>Min difficulty</t>
        </is>
      </c>
      <c r="E1" s="1" t="inlineStr">
        <is>
          <t>Max difficulty</t>
        </is>
      </c>
      <c r="F1" s="1" t="inlineStr">
        <is>
          <t>Avg notes</t>
        </is>
      </c>
      <c r="G1" s="1" t="inlineStr">
        <is>
          <t>Avg measures</t>
        </is>
      </c>
    </row>
    <row r="2">
      <c r="A2" s="2" t="inlineStr">
        <is>
          <t>Yohei Kato</t>
        </is>
      </c>
      <c r="B2" s="2">
        <f>SUMPRODUCT(--(dataset!$C$2:$C$807=$A2))</f>
        <v/>
      </c>
      <c r="C2" s="3">
        <f>SUMPRODUCT((dataset!$C$2:$C$807=$A2)*dataset!$B$2:$B$807)/B2</f>
        <v/>
      </c>
      <c r="D2" s="2">
        <f>_xlfn.MINIFS(dataset!$B$2:$B$807,dataset!$C$2:$C$807,$A2)</f>
        <v/>
      </c>
      <c r="E2" s="2">
        <f>_xlfn.MAXIFS(dataset!$B$2:$B$807,dataset!$C$2:$C$807,$A2)</f>
        <v/>
      </c>
      <c r="F2" s="3">
        <f>IFERROR(SUMPRODUCT((dataset!$C$2:$C$807=$A2)*dataset!$I$2:$I$807)/SUMPRODUCT((dataset!$C$2:$C$807=$A2)*(dataset!$I$2:$I$807&lt;&gt;"")),"")</f>
        <v/>
      </c>
      <c r="G2" s="3">
        <f>IFERROR(SUMPRODUCT((dataset!$C$2:$C$807=$A2)*dataset!$J$2:$J$807)/SUMPRODUCT((dataset!$C$2:$C$807=$A2)*(dataset!$J$2:$J$807&lt;&gt;"")),"")</f>
        <v/>
      </c>
    </row>
    <row r="3">
      <c r="A3" s="2" t="inlineStr">
        <is>
          <t>Scott Joplin</t>
        </is>
      </c>
      <c r="B3" s="2">
        <f>SUMPRODUCT(--(dataset!$C$2:$C$807=$A3))</f>
        <v/>
      </c>
      <c r="C3" s="3">
        <f>SUMPRODUCT((dataset!$C$2:$C$807=$A3)*dataset!$B$2:$B$807)/B3</f>
        <v/>
      </c>
      <c r="D3" s="2">
        <f>_xlfn.MINIFS(dataset!$B$2:$B$807,dataset!$C$2:$C$807,$A3)</f>
        <v/>
      </c>
      <c r="E3" s="2">
        <f>_xlfn.MAXIFS(dataset!$B$2:$B$807,dataset!$C$2:$C$807,$A3)</f>
        <v/>
      </c>
      <c r="F3" s="3">
        <f>IFERROR(SUMPRODUCT((dataset!$C$2:$C$807=$A3)*dataset!$I$2:$I$807)/SUMPRODUCT((dataset!$C$2:$C$807=$A3)*(dataset!$I$2:$I$807&lt;&gt;"")),"")</f>
        <v/>
      </c>
      <c r="G3" s="3">
        <f>IFERROR(SUMPRODUCT((dataset!$C$2:$C$807=$A3)*dataset!$J$2:$J$807)/SUMPRODUCT((dataset!$C$2:$C$807=$A3)*(dataset!$J$2:$J$807&lt;&gt;"")),"")</f>
        <v/>
      </c>
    </row>
    <row r="4">
      <c r="A4" s="2" t="inlineStr">
        <is>
          <t>Franz Liszt</t>
        </is>
      </c>
      <c r="B4" s="2">
        <f>SUMPRODUCT(--(dataset!$C$2:$C$807=$A4))</f>
        <v/>
      </c>
      <c r="C4" s="3">
        <f>SUMPRODUCT((dataset!$C$2:$C$807=$A4)*dataset!$B$2:$B$807)/B4</f>
        <v/>
      </c>
      <c r="D4" s="2">
        <f>_xlfn.MINIFS(dataset!$B$2:$B$807,dataset!$C$2:$C$807,$A4)</f>
        <v/>
      </c>
      <c r="E4" s="2">
        <f>_xlfn.MAXIFS(dataset!$B$2:$B$807,dataset!$C$2:$C$807,$A4)</f>
        <v/>
      </c>
      <c r="F4" s="3">
        <f>IFERROR(SUMPRODUCT((dataset!$C$2:$C$807=$A4)*dataset!$I$2:$I$807)/SUMPRODUCT((dataset!$C$2:$C$807=$A4)*(dataset!$I$2:$I$807&lt;&gt;"")),"")</f>
        <v/>
      </c>
      <c r="G4" s="3">
        <f>IFERROR(SUMPRODUCT((dataset!$C$2:$C$807=$A4)*dataset!$J$2:$J$807)/SUMPRODUCT((dataset!$C$2:$C$807=$A4)*(dataset!$J$2:$J$807&lt;&gt;"")),"")</f>
        <v/>
      </c>
    </row>
    <row r="5">
      <c r="A5" s="2" t="inlineStr">
        <is>
          <t>Toby Fox</t>
        </is>
      </c>
      <c r="B5" s="2">
        <f>SUMPRODUCT(--(dataset!$C$2:$C$807=$A5))</f>
        <v/>
      </c>
      <c r="C5" s="3">
        <f>SUMPRODUCT((dataset!$C$2:$C$807=$A5)*dataset!$B$2:$B$807)/B5</f>
        <v/>
      </c>
      <c r="D5" s="2">
        <f>_xlfn.MINIFS(dataset!$B$2:$B$807,dataset!$C$2:$C$807,$A5)</f>
        <v/>
      </c>
      <c r="E5" s="2">
        <f>_xlfn.MAXIFS(dataset!$B$2:$B$807,dataset!$C$2:$C$807,$A5)</f>
        <v/>
      </c>
      <c r="F5" s="3">
        <f>IFERROR(SUMPRODUCT((dataset!$C$2:$C$807=$A5)*dataset!$I$2:$I$807)/SUMPRODUCT((dataset!$C$2:$C$807=$A5)*(dataset!$I$2:$I$807&lt;&gt;"")),"")</f>
        <v/>
      </c>
      <c r="G5" s="3">
        <f>IFERROR(SUMPRODUCT((dataset!$C$2:$C$807=$A5)*dataset!$J$2:$J$807)/SUMPRODUCT((dataset!$C$2:$C$807=$A5)*(dataset!$J$2:$J$807&lt;&gt;"")),"")</f>
        <v/>
      </c>
    </row>
    <row r="6">
      <c r="A6" s="2" t="inlineStr">
        <is>
          <t>Sergei Rachmaninoff</t>
        </is>
      </c>
      <c r="B6" s="2">
        <f>SUMPRODUCT(--(dataset!$C$2:$C$807=$A6))</f>
        <v/>
      </c>
      <c r="C6" s="3">
        <f>SUMPRODUCT((dataset!$C$2:$C$807=$A6)*dataset!$B$2:$B$807)/B6</f>
        <v/>
      </c>
      <c r="D6" s="2">
        <f>_xlfn.MINIFS(dataset!$B$2:$B$807,dataset!$C$2:$C$807,$A6)</f>
        <v/>
      </c>
      <c r="E6" s="2">
        <f>_xlfn.MAXIFS(dataset!$B$2:$B$807,dataset!$C$2:$C$807,$A6)</f>
        <v/>
      </c>
      <c r="F6" s="3">
        <f>IFERROR(SUMPRODUCT((dataset!$C$2:$C$807=$A6)*dataset!$I$2:$I$807)/SUMPRODUCT((dataset!$C$2:$C$807=$A6)*(dataset!$I$2:$I$807&lt;&gt;"")),"")</f>
        <v/>
      </c>
      <c r="G6" s="3">
        <f>IFERROR(SUMPRODUCT((dataset!$C$2:$C$807=$A6)*dataset!$J$2:$J$807)/SUMPRODUCT((dataset!$C$2:$C$807=$A6)*(dataset!$J$2:$J$807&lt;&gt;"")),"")</f>
        <v/>
      </c>
    </row>
    <row r="7">
      <c r="A7" s="2" t="inlineStr">
        <is>
          <t>Tom Brier</t>
        </is>
      </c>
      <c r="B7" s="2">
        <f>SUMPRODUCT(--(dataset!$C$2:$C$807=$A7))</f>
        <v/>
      </c>
      <c r="C7" s="3">
        <f>SUMPRODUCT((dataset!$C$2:$C$807=$A7)*dataset!$B$2:$B$807)/B7</f>
        <v/>
      </c>
      <c r="D7" s="2">
        <f>_xlfn.MINIFS(dataset!$B$2:$B$807,dataset!$C$2:$C$807,$A7)</f>
        <v/>
      </c>
      <c r="E7" s="2">
        <f>_xlfn.MAXIFS(dataset!$B$2:$B$807,dataset!$C$2:$C$807,$A7)</f>
        <v/>
      </c>
      <c r="F7" s="3">
        <f>IFERROR(SUMPRODUCT((dataset!$C$2:$C$807=$A7)*dataset!$I$2:$I$807)/SUMPRODUCT((dataset!$C$2:$C$807=$A7)*(dataset!$I$2:$I$807&lt;&gt;"")),"")</f>
        <v/>
      </c>
      <c r="G7" s="3">
        <f>IFERROR(SUMPRODUCT((dataset!$C$2:$C$807=$A7)*dataset!$J$2:$J$807)/SUMPRODUCT((dataset!$C$2:$C$807=$A7)*(dataset!$J$2:$J$807&lt;&gt;"")),"")</f>
        <v/>
      </c>
    </row>
    <row r="8">
      <c r="A8" s="2" t="inlineStr">
        <is>
          <t>Carl Czerny</t>
        </is>
      </c>
      <c r="B8" s="2">
        <f>SUMPRODUCT(--(dataset!$C$2:$C$807=$A8))</f>
        <v/>
      </c>
      <c r="C8" s="3">
        <f>SUMPRODUCT((dataset!$C$2:$C$807=$A8)*dataset!$B$2:$B$807)/B8</f>
        <v/>
      </c>
      <c r="D8" s="2">
        <f>_xlfn.MINIFS(dataset!$B$2:$B$807,dataset!$C$2:$C$807,$A8)</f>
        <v/>
      </c>
      <c r="E8" s="2">
        <f>_xlfn.MAXIFS(dataset!$B$2:$B$807,dataset!$C$2:$C$807,$A8)</f>
        <v/>
      </c>
      <c r="F8" s="3">
        <f>IFERROR(SUMPRODUCT((dataset!$C$2:$C$807=$A8)*dataset!$I$2:$I$807)/SUMPRODUCT((dataset!$C$2:$C$807=$A8)*(dataset!$I$2:$I$807&lt;&gt;"")),"")</f>
        <v/>
      </c>
      <c r="G8" s="3">
        <f>IFERROR(SUMPRODUCT((dataset!$C$2:$C$807=$A8)*dataset!$J$2:$J$807)/SUMPRODUCT((dataset!$C$2:$C$807=$A8)*(dataset!$J$2:$J$807&lt;&gt;"")),"")</f>
        <v/>
      </c>
    </row>
    <row r="9">
      <c r="A9" s="2" t="inlineStr">
        <is>
          <t>Friedrich Burgmüller</t>
        </is>
      </c>
      <c r="B9" s="2">
        <f>SUMPRODUCT(--(dataset!$C$2:$C$807=$A9))</f>
        <v/>
      </c>
      <c r="C9" s="3">
        <f>SUMPRODUCT((dataset!$C$2:$C$807=$A9)*dataset!$B$2:$B$807)/B9</f>
        <v/>
      </c>
      <c r="D9" s="2">
        <f>_xlfn.MINIFS(dataset!$B$2:$B$807,dataset!$C$2:$C$807,$A9)</f>
        <v/>
      </c>
      <c r="E9" s="2">
        <f>_xlfn.MAXIFS(dataset!$B$2:$B$807,dataset!$C$2:$C$807,$A9)</f>
        <v/>
      </c>
      <c r="F9" s="3">
        <f>IFERROR(SUMPRODUCT((dataset!$C$2:$C$807=$A9)*dataset!$I$2:$I$807)/SUMPRODUCT((dataset!$C$2:$C$807=$A9)*(dataset!$I$2:$I$807&lt;&gt;"")),"")</f>
        <v/>
      </c>
      <c r="G9" s="3">
        <f>IFERROR(SUMPRODUCT((dataset!$C$2:$C$807=$A9)*dataset!$J$2:$J$807)/SUMPRODUCT((dataset!$C$2:$C$807=$A9)*(dataset!$J$2:$J$807&lt;&gt;"")),"")</f>
        <v/>
      </c>
    </row>
    <row r="10">
      <c r="A10" s="2" t="inlineStr">
        <is>
          <t>Hugo Frey</t>
        </is>
      </c>
      <c r="B10" s="2">
        <f>SUMPRODUCT(--(dataset!$C$2:$C$807=$A10))</f>
        <v/>
      </c>
      <c r="C10" s="3">
        <f>SUMPRODUCT((dataset!$C$2:$C$807=$A10)*dataset!$B$2:$B$807)/B10</f>
        <v/>
      </c>
      <c r="D10" s="2">
        <f>_xlfn.MINIFS(dataset!$B$2:$B$807,dataset!$C$2:$C$807,$A10)</f>
        <v/>
      </c>
      <c r="E10" s="2">
        <f>_xlfn.MAXIFS(dataset!$B$2:$B$807,dataset!$C$2:$C$807,$A10)</f>
        <v/>
      </c>
      <c r="F10" s="3">
        <f>IFERROR(SUMPRODUCT((dataset!$C$2:$C$807=$A10)*dataset!$I$2:$I$807)/SUMPRODUCT((dataset!$C$2:$C$807=$A10)*(dataset!$I$2:$I$807&lt;&gt;"")),"")</f>
        <v/>
      </c>
      <c r="G10" s="3">
        <f>IFERROR(SUMPRODUCT((dataset!$C$2:$C$807=$A10)*dataset!$J$2:$J$807)/SUMPRODUCT((dataset!$C$2:$C$807=$A10)*(dataset!$J$2:$J$807&lt;&gt;"")),"")</f>
        <v/>
      </c>
    </row>
    <row r="11">
      <c r="A11" s="2" t="inlineStr">
        <is>
          <t>Alexander Scriabin</t>
        </is>
      </c>
      <c r="B11" s="2">
        <f>SUMPRODUCT(--(dataset!$C$2:$C$807=$A11))</f>
        <v/>
      </c>
      <c r="C11" s="3">
        <f>SUMPRODUCT((dataset!$C$2:$C$807=$A11)*dataset!$B$2:$B$807)/B11</f>
        <v/>
      </c>
      <c r="D11" s="2">
        <f>_xlfn.MINIFS(dataset!$B$2:$B$807,dataset!$C$2:$C$807,$A11)</f>
        <v/>
      </c>
      <c r="E11" s="2">
        <f>_xlfn.MAXIFS(dataset!$B$2:$B$807,dataset!$C$2:$C$807,$A11)</f>
        <v/>
      </c>
      <c r="F11" s="3">
        <f>IFERROR(SUMPRODUCT((dataset!$C$2:$C$807=$A11)*dataset!$I$2:$I$807)/SUMPRODUCT((dataset!$C$2:$C$807=$A11)*(dataset!$I$2:$I$807&lt;&gt;"")),"")</f>
        <v/>
      </c>
      <c r="G11" s="3">
        <f>IFERROR(SUMPRODUCT((dataset!$C$2:$C$807=$A11)*dataset!$J$2:$J$807)/SUMPRODUCT((dataset!$C$2:$C$807=$A11)*(dataset!$J$2:$J$807&lt;&gt;"")),"")</f>
        <v/>
      </c>
    </row>
    <row r="12">
      <c r="A12" s="2" t="inlineStr">
        <is>
          <t>Arthur Schutt</t>
        </is>
      </c>
      <c r="B12" s="2">
        <f>SUMPRODUCT(--(dataset!$C$2:$C$807=$A12))</f>
        <v/>
      </c>
      <c r="C12" s="3">
        <f>SUMPRODUCT((dataset!$C$2:$C$807=$A12)*dataset!$B$2:$B$807)/B12</f>
        <v/>
      </c>
      <c r="D12" s="2">
        <f>_xlfn.MINIFS(dataset!$B$2:$B$807,dataset!$C$2:$C$807,$A12)</f>
        <v/>
      </c>
      <c r="E12" s="2">
        <f>_xlfn.MAXIFS(dataset!$B$2:$B$807,dataset!$C$2:$C$807,$A12)</f>
        <v/>
      </c>
      <c r="F12" s="3">
        <f>IFERROR(SUMPRODUCT((dataset!$C$2:$C$807=$A12)*dataset!$I$2:$I$807)/SUMPRODUCT((dataset!$C$2:$C$807=$A12)*(dataset!$I$2:$I$807&lt;&gt;"")),"")</f>
        <v/>
      </c>
      <c r="G12" s="3">
        <f>IFERROR(SUMPRODUCT((dataset!$C$2:$C$807=$A12)*dataset!$J$2:$J$807)/SUMPRODUCT((dataset!$C$2:$C$807=$A12)*(dataset!$J$2:$J$807&lt;&gt;"")),"")</f>
        <v/>
      </c>
    </row>
    <row r="13">
      <c r="A13" s="2" t="inlineStr">
        <is>
          <t>Christian Petzold</t>
        </is>
      </c>
      <c r="B13" s="2">
        <f>SUMPRODUCT(--(dataset!$C$2:$C$807=$A13))</f>
        <v/>
      </c>
      <c r="C13" s="3">
        <f>SUMPRODUCT((dataset!$C$2:$C$807=$A13)*dataset!$B$2:$B$807)/B13</f>
        <v/>
      </c>
      <c r="D13" s="2">
        <f>_xlfn.MINIFS(dataset!$B$2:$B$807,dataset!$C$2:$C$807,$A13)</f>
        <v/>
      </c>
      <c r="E13" s="2">
        <f>_xlfn.MAXIFS(dataset!$B$2:$B$807,dataset!$C$2:$C$807,$A13)</f>
        <v/>
      </c>
      <c r="F13" s="3">
        <f>IFERROR(SUMPRODUCT((dataset!$C$2:$C$807=$A13)*dataset!$I$2:$I$807)/SUMPRODUCT((dataset!$C$2:$C$807=$A13)*(dataset!$I$2:$I$807&lt;&gt;"")),"")</f>
        <v/>
      </c>
      <c r="G13" s="3">
        <f>IFERROR(SUMPRODUCT((dataset!$C$2:$C$807=$A13)*dataset!$J$2:$J$807)/SUMPRODUCT((dataset!$C$2:$C$807=$A13)*(dataset!$J$2:$J$807&lt;&gt;"")),"")</f>
        <v/>
      </c>
    </row>
    <row r="14">
      <c r="A14" s="2" t="inlineStr">
        <is>
          <t>E. T. Paull</t>
        </is>
      </c>
      <c r="B14" s="2">
        <f>SUMPRODUCT(--(dataset!$C$2:$C$807=$A14))</f>
        <v/>
      </c>
      <c r="C14" s="3">
        <f>SUMPRODUCT((dataset!$C$2:$C$807=$A14)*dataset!$B$2:$B$807)/B14</f>
        <v/>
      </c>
      <c r="D14" s="2">
        <f>_xlfn.MINIFS(dataset!$B$2:$B$807,dataset!$C$2:$C$807,$A14)</f>
        <v/>
      </c>
      <c r="E14" s="2">
        <f>_xlfn.MAXIFS(dataset!$B$2:$B$807,dataset!$C$2:$C$807,$A14)</f>
        <v/>
      </c>
      <c r="F14" s="3">
        <f>IFERROR(SUMPRODUCT((dataset!$C$2:$C$807=$A14)*dataset!$I$2:$I$807)/SUMPRODUCT((dataset!$C$2:$C$807=$A14)*(dataset!$I$2:$I$807&lt;&gt;"")),"")</f>
        <v/>
      </c>
      <c r="G14" s="3">
        <f>IFERROR(SUMPRODUCT((dataset!$C$2:$C$807=$A14)*dataset!$J$2:$J$807)/SUMPRODUCT((dataset!$C$2:$C$807=$A14)*(dataset!$J$2:$J$807&lt;&gt;"")),"")</f>
        <v/>
      </c>
    </row>
    <row r="15">
      <c r="A15" s="2" t="inlineStr">
        <is>
          <t>Edmund Braham</t>
        </is>
      </c>
      <c r="B15" s="2">
        <f>SUMPRODUCT(--(dataset!$C$2:$C$807=$A15))</f>
        <v/>
      </c>
      <c r="C15" s="3">
        <f>SUMPRODUCT((dataset!$C$2:$C$807=$A15)*dataset!$B$2:$B$807)/B15</f>
        <v/>
      </c>
      <c r="D15" s="2">
        <f>_xlfn.MINIFS(dataset!$B$2:$B$807,dataset!$C$2:$C$807,$A15)</f>
        <v/>
      </c>
      <c r="E15" s="2">
        <f>_xlfn.MAXIFS(dataset!$B$2:$B$807,dataset!$C$2:$C$807,$A15)</f>
        <v/>
      </c>
      <c r="F15" s="3">
        <f>IFERROR(SUMPRODUCT((dataset!$C$2:$C$807=$A15)*dataset!$I$2:$I$807)/SUMPRODUCT((dataset!$C$2:$C$807=$A15)*(dataset!$I$2:$I$807&lt;&gt;"")),"")</f>
        <v/>
      </c>
      <c r="G15" s="3">
        <f>IFERROR(SUMPRODUCT((dataset!$C$2:$C$807=$A15)*dataset!$J$2:$J$807)/SUMPRODUCT((dataset!$C$2:$C$807=$A15)*(dataset!$J$2:$J$807&lt;&gt;"")),"")</f>
        <v/>
      </c>
    </row>
    <row r="16">
      <c r="A16" s="2" t="inlineStr">
        <is>
          <t>Hans Zimmer</t>
        </is>
      </c>
      <c r="B16" s="2">
        <f>SUMPRODUCT(--(dataset!$C$2:$C$807=$A16))</f>
        <v/>
      </c>
      <c r="C16" s="3">
        <f>SUMPRODUCT((dataset!$C$2:$C$807=$A16)*dataset!$B$2:$B$807)/B16</f>
        <v/>
      </c>
      <c r="D16" s="2">
        <f>_xlfn.MINIFS(dataset!$B$2:$B$807,dataset!$C$2:$C$807,$A16)</f>
        <v/>
      </c>
      <c r="E16" s="2">
        <f>_xlfn.MAXIFS(dataset!$B$2:$B$807,dataset!$C$2:$C$807,$A16)</f>
        <v/>
      </c>
      <c r="F16" s="3">
        <f>IFERROR(SUMPRODUCT((dataset!$C$2:$C$807=$A16)*dataset!$I$2:$I$807)/SUMPRODUCT((dataset!$C$2:$C$807=$A16)*(dataset!$I$2:$I$807&lt;&gt;"")),"")</f>
        <v/>
      </c>
      <c r="G16" s="3">
        <f>IFERROR(SUMPRODUCT((dataset!$C$2:$C$807=$A16)*dataset!$J$2:$J$807)/SUMPRODUCT((dataset!$C$2:$C$807=$A16)*(dataset!$J$2:$J$807&lt;&gt;"")),"")</f>
        <v/>
      </c>
    </row>
    <row r="17">
      <c r="A17" s="2" t="inlineStr">
        <is>
          <t>Jacob D'Lallo</t>
        </is>
      </c>
      <c r="B17" s="2">
        <f>SUMPRODUCT(--(dataset!$C$2:$C$807=$A17))</f>
        <v/>
      </c>
      <c r="C17" s="3">
        <f>SUMPRODUCT((dataset!$C$2:$C$807=$A17)*dataset!$B$2:$B$807)/B17</f>
        <v/>
      </c>
      <c r="D17" s="2">
        <f>_xlfn.MINIFS(dataset!$B$2:$B$807,dataset!$C$2:$C$807,$A17)</f>
        <v/>
      </c>
      <c r="E17" s="2">
        <f>_xlfn.MAXIFS(dataset!$B$2:$B$807,dataset!$C$2:$C$807,$A17)</f>
        <v/>
      </c>
      <c r="F17" s="3">
        <f>IFERROR(SUMPRODUCT((dataset!$C$2:$C$807=$A17)*dataset!$I$2:$I$807)/SUMPRODUCT((dataset!$C$2:$C$807=$A17)*(dataset!$I$2:$I$807&lt;&gt;"")),"")</f>
        <v/>
      </c>
      <c r="G17" s="3">
        <f>IFERROR(SUMPRODUCT((dataset!$C$2:$C$807=$A17)*dataset!$J$2:$J$807)/SUMPRODUCT((dataset!$C$2:$C$807=$A17)*(dataset!$J$2:$J$807&lt;&gt;"")),"")</f>
        <v/>
      </c>
    </row>
    <row r="18">
      <c r="A18" s="2" t="inlineStr">
        <is>
          <t>Pyotr Ilyich Tchaikovsky</t>
        </is>
      </c>
      <c r="B18" s="2">
        <f>SUMPRODUCT(--(dataset!$C$2:$C$807=$A18))</f>
        <v/>
      </c>
      <c r="C18" s="3">
        <f>SUMPRODUCT((dataset!$C$2:$C$807=$A18)*dataset!$B$2:$B$807)/B18</f>
        <v/>
      </c>
      <c r="D18" s="2">
        <f>_xlfn.MINIFS(dataset!$B$2:$B$807,dataset!$C$2:$C$807,$A18)</f>
        <v/>
      </c>
      <c r="E18" s="2">
        <f>_xlfn.MAXIFS(dataset!$B$2:$B$807,dataset!$C$2:$C$807,$A18)</f>
        <v/>
      </c>
      <c r="F18" s="3">
        <f>IFERROR(SUMPRODUCT((dataset!$C$2:$C$807=$A18)*dataset!$I$2:$I$807)/SUMPRODUCT((dataset!$C$2:$C$807=$A18)*(dataset!$I$2:$I$807&lt;&gt;"")),"")</f>
        <v/>
      </c>
      <c r="G18" s="3">
        <f>IFERROR(SUMPRODUCT((dataset!$C$2:$C$807=$A18)*dataset!$J$2:$J$807)/SUMPRODUCT((dataset!$C$2:$C$807=$A18)*(dataset!$J$2:$J$807&lt;&gt;"")),"")</f>
        <v/>
      </c>
    </row>
    <row r="19">
      <c r="A19" s="2" t="inlineStr">
        <is>
          <t>Richard Wagner</t>
        </is>
      </c>
      <c r="B19" s="2">
        <f>SUMPRODUCT(--(dataset!$C$2:$C$807=$A19))</f>
        <v/>
      </c>
      <c r="C19" s="3">
        <f>SUMPRODUCT((dataset!$C$2:$C$807=$A19)*dataset!$B$2:$B$807)/B19</f>
        <v/>
      </c>
      <c r="D19" s="2">
        <f>_xlfn.MINIFS(dataset!$B$2:$B$807,dataset!$C$2:$C$807,$A19)</f>
        <v/>
      </c>
      <c r="E19" s="2">
        <f>_xlfn.MAXIFS(dataset!$B$2:$B$807,dataset!$C$2:$C$807,$A19)</f>
        <v/>
      </c>
      <c r="F19" s="3">
        <f>IFERROR(SUMPRODUCT((dataset!$C$2:$C$807=$A19)*dataset!$I$2:$I$807)/SUMPRODUCT((dataset!$C$2:$C$807=$A19)*(dataset!$I$2:$I$807&lt;&gt;"")),"")</f>
        <v/>
      </c>
      <c r="G19" s="3">
        <f>IFERROR(SUMPRODUCT((dataset!$C$2:$C$807=$A19)*dataset!$J$2:$J$807)/SUMPRODUCT((dataset!$C$2:$C$807=$A19)*(dataset!$J$2:$J$807&lt;&gt;"")),"")</f>
        <v/>
      </c>
    </row>
    <row r="20">
      <c r="A20" s="2" t="inlineStr">
        <is>
          <t>Alan Walker</t>
        </is>
      </c>
      <c r="B20" s="2">
        <f>SUMPRODUCT(--(dataset!$C$2:$C$807=$A20))</f>
        <v/>
      </c>
      <c r="C20" s="3">
        <f>SUMPRODUCT((dataset!$C$2:$C$807=$A20)*dataset!$B$2:$B$807)/B20</f>
        <v/>
      </c>
      <c r="D20" s="2">
        <f>_xlfn.MINIFS(dataset!$B$2:$B$807,dataset!$C$2:$C$807,$A20)</f>
        <v/>
      </c>
      <c r="E20" s="2">
        <f>_xlfn.MAXIFS(dataset!$B$2:$B$807,dataset!$C$2:$C$807,$A20)</f>
        <v/>
      </c>
      <c r="F20" s="3">
        <f>IFERROR(SUMPRODUCT((dataset!$C$2:$C$807=$A20)*dataset!$I$2:$I$807)/SUMPRODUCT((dataset!$C$2:$C$807=$A20)*(dataset!$I$2:$I$807&lt;&gt;"")),"")</f>
        <v/>
      </c>
      <c r="G20" s="3">
        <f>IFERROR(SUMPRODUCT((dataset!$C$2:$C$807=$A20)*dataset!$J$2:$J$807)/SUMPRODUCT((dataset!$C$2:$C$807=$A20)*(dataset!$J$2:$J$807&lt;&gt;"")),"")</f>
        <v/>
      </c>
    </row>
    <row r="21">
      <c r="A21" s="2" t="inlineStr">
        <is>
          <t>Elmer Olson</t>
        </is>
      </c>
      <c r="B21" s="2">
        <f>SUMPRODUCT(--(dataset!$C$2:$C$807=$A21))</f>
        <v/>
      </c>
      <c r="C21" s="3">
        <f>SUMPRODUCT((dataset!$C$2:$C$807=$A21)*dataset!$B$2:$B$807)/B21</f>
        <v/>
      </c>
      <c r="D21" s="2">
        <f>_xlfn.MINIFS(dataset!$B$2:$B$807,dataset!$C$2:$C$807,$A21)</f>
        <v/>
      </c>
      <c r="E21" s="2">
        <f>_xlfn.MAXIFS(dataset!$B$2:$B$807,dataset!$C$2:$C$807,$A21)</f>
        <v/>
      </c>
      <c r="F21" s="3">
        <f>IFERROR(SUMPRODUCT((dataset!$C$2:$C$807=$A21)*dataset!$I$2:$I$807)/SUMPRODUCT((dataset!$C$2:$C$807=$A21)*(dataset!$I$2:$I$807&lt;&gt;"")),"")</f>
        <v/>
      </c>
      <c r="G21" s="3">
        <f>IFERROR(SUMPRODUCT((dataset!$C$2:$C$807=$A21)*dataset!$J$2:$J$807)/SUMPRODUCT((dataset!$C$2:$C$807=$A21)*(dataset!$J$2:$J$807&lt;&gt;"")),"")</f>
        <v/>
      </c>
    </row>
    <row r="22">
      <c r="A22" s="2" t="inlineStr">
        <is>
          <t>Fabian Reiß</t>
        </is>
      </c>
      <c r="B22" s="2">
        <f>SUMPRODUCT(--(dataset!$C$2:$C$807=$A22))</f>
        <v/>
      </c>
      <c r="C22" s="3">
        <f>SUMPRODUCT((dataset!$C$2:$C$807=$A22)*dataset!$B$2:$B$807)/B22</f>
        <v/>
      </c>
      <c r="D22" s="2">
        <f>_xlfn.MINIFS(dataset!$B$2:$B$807,dataset!$C$2:$C$807,$A22)</f>
        <v/>
      </c>
      <c r="E22" s="2">
        <f>_xlfn.MAXIFS(dataset!$B$2:$B$807,dataset!$C$2:$C$807,$A22)</f>
        <v/>
      </c>
      <c r="F22" s="3">
        <f>IFERROR(SUMPRODUCT((dataset!$C$2:$C$807=$A22)*dataset!$I$2:$I$807)/SUMPRODUCT((dataset!$C$2:$C$807=$A22)*(dataset!$I$2:$I$807&lt;&gt;"")),"")</f>
        <v/>
      </c>
      <c r="G22" s="3">
        <f>IFERROR(SUMPRODUCT((dataset!$C$2:$C$807=$A22)*dataset!$J$2:$J$807)/SUMPRODUCT((dataset!$C$2:$C$807=$A22)*(dataset!$J$2:$J$807&lt;&gt;"")),"")</f>
        <v/>
      </c>
    </row>
    <row r="23">
      <c r="A23" s="2" t="inlineStr">
        <is>
          <t>George Fairman</t>
        </is>
      </c>
      <c r="B23" s="2">
        <f>SUMPRODUCT(--(dataset!$C$2:$C$807=$A23))</f>
        <v/>
      </c>
      <c r="C23" s="3">
        <f>SUMPRODUCT((dataset!$C$2:$C$807=$A23)*dataset!$B$2:$B$807)/B23</f>
        <v/>
      </c>
      <c r="D23" s="2">
        <f>_xlfn.MINIFS(dataset!$B$2:$B$807,dataset!$C$2:$C$807,$A23)</f>
        <v/>
      </c>
      <c r="E23" s="2">
        <f>_xlfn.MAXIFS(dataset!$B$2:$B$807,dataset!$C$2:$C$807,$A23)</f>
        <v/>
      </c>
      <c r="F23" s="3">
        <f>IFERROR(SUMPRODUCT((dataset!$C$2:$C$807=$A23)*dataset!$I$2:$I$807)/SUMPRODUCT((dataset!$C$2:$C$807=$A23)*(dataset!$I$2:$I$807&lt;&gt;"")),"")</f>
        <v/>
      </c>
      <c r="G23" s="3">
        <f>IFERROR(SUMPRODUCT((dataset!$C$2:$C$807=$A23)*dataset!$J$2:$J$807)/SUMPRODUCT((dataset!$C$2:$C$807=$A23)*(dataset!$J$2:$J$807&lt;&gt;"")),"")</f>
        <v/>
      </c>
    </row>
    <row r="24">
      <c r="A24" s="2" t="inlineStr">
        <is>
          <t>Herbert Ingraham</t>
        </is>
      </c>
      <c r="B24" s="2">
        <f>SUMPRODUCT(--(dataset!$C$2:$C$807=$A24))</f>
        <v/>
      </c>
      <c r="C24" s="3">
        <f>SUMPRODUCT((dataset!$C$2:$C$807=$A24)*dataset!$B$2:$B$807)/B24</f>
        <v/>
      </c>
      <c r="D24" s="2">
        <f>_xlfn.MINIFS(dataset!$B$2:$B$807,dataset!$C$2:$C$807,$A24)</f>
        <v/>
      </c>
      <c r="E24" s="2">
        <f>_xlfn.MAXIFS(dataset!$B$2:$B$807,dataset!$C$2:$C$807,$A24)</f>
        <v/>
      </c>
      <c r="F24" s="3">
        <f>IFERROR(SUMPRODUCT((dataset!$C$2:$C$807=$A24)*dataset!$I$2:$I$807)/SUMPRODUCT((dataset!$C$2:$C$807=$A24)*(dataset!$I$2:$I$807&lt;&gt;"")),"")</f>
        <v/>
      </c>
      <c r="G24" s="3">
        <f>IFERROR(SUMPRODUCT((dataset!$C$2:$C$807=$A24)*dataset!$J$2:$J$807)/SUMPRODUCT((dataset!$C$2:$C$807=$A24)*(dataset!$J$2:$J$807&lt;&gt;"")),"")</f>
        <v/>
      </c>
    </row>
    <row r="25">
      <c r="A25" s="2" t="inlineStr">
        <is>
          <t>J. C. Dovicchi</t>
        </is>
      </c>
      <c r="B25" s="2">
        <f>SUMPRODUCT(--(dataset!$C$2:$C$807=$A25))</f>
        <v/>
      </c>
      <c r="C25" s="3">
        <f>SUMPRODUCT((dataset!$C$2:$C$807=$A25)*dataset!$B$2:$B$807)/B25</f>
        <v/>
      </c>
      <c r="D25" s="2">
        <f>_xlfn.MINIFS(dataset!$B$2:$B$807,dataset!$C$2:$C$807,$A25)</f>
        <v/>
      </c>
      <c r="E25" s="2">
        <f>_xlfn.MAXIFS(dataset!$B$2:$B$807,dataset!$C$2:$C$807,$A25)</f>
        <v/>
      </c>
      <c r="F25" s="3">
        <f>IFERROR(SUMPRODUCT((dataset!$C$2:$C$807=$A25)*dataset!$I$2:$I$807)/SUMPRODUCT((dataset!$C$2:$C$807=$A25)*(dataset!$I$2:$I$807&lt;&gt;"")),"")</f>
        <v/>
      </c>
      <c r="G25" s="3">
        <f>IFERROR(SUMPRODUCT((dataset!$C$2:$C$807=$A25)*dataset!$J$2:$J$807)/SUMPRODUCT((dataset!$C$2:$C$807=$A25)*(dataset!$J$2:$J$807&lt;&gt;"")),"")</f>
        <v/>
      </c>
    </row>
    <row r="26">
      <c r="A26" s="2" t="inlineStr">
        <is>
          <t>James Scott</t>
        </is>
      </c>
      <c r="B26" s="2">
        <f>SUMPRODUCT(--(dataset!$C$2:$C$807=$A26))</f>
        <v/>
      </c>
      <c r="C26" s="3">
        <f>SUMPRODUCT((dataset!$C$2:$C$807=$A26)*dataset!$B$2:$B$807)/B26</f>
        <v/>
      </c>
      <c r="D26" s="2">
        <f>_xlfn.MINIFS(dataset!$B$2:$B$807,dataset!$C$2:$C$807,$A26)</f>
        <v/>
      </c>
      <c r="E26" s="2">
        <f>_xlfn.MAXIFS(dataset!$B$2:$B$807,dataset!$C$2:$C$807,$A26)</f>
        <v/>
      </c>
      <c r="F26" s="3">
        <f>IFERROR(SUMPRODUCT((dataset!$C$2:$C$807=$A26)*dataset!$I$2:$I$807)/SUMPRODUCT((dataset!$C$2:$C$807=$A26)*(dataset!$I$2:$I$807&lt;&gt;"")),"")</f>
        <v/>
      </c>
      <c r="G26" s="3">
        <f>IFERROR(SUMPRODUCT((dataset!$C$2:$C$807=$A26)*dataset!$J$2:$J$807)/SUMPRODUCT((dataset!$C$2:$C$807=$A26)*(dataset!$J$2:$J$807&lt;&gt;"")),"")</f>
        <v/>
      </c>
    </row>
    <row r="27">
      <c r="A27" s="2" t="inlineStr">
        <is>
          <t>Jean-Philippe Rameau</t>
        </is>
      </c>
      <c r="B27" s="2">
        <f>SUMPRODUCT(--(dataset!$C$2:$C$807=$A27))</f>
        <v/>
      </c>
      <c r="C27" s="3">
        <f>SUMPRODUCT((dataset!$C$2:$C$807=$A27)*dataset!$B$2:$B$807)/B27</f>
        <v/>
      </c>
      <c r="D27" s="2">
        <f>_xlfn.MINIFS(dataset!$B$2:$B$807,dataset!$C$2:$C$807,$A27)</f>
        <v/>
      </c>
      <c r="E27" s="2">
        <f>_xlfn.MAXIFS(dataset!$B$2:$B$807,dataset!$C$2:$C$807,$A27)</f>
        <v/>
      </c>
      <c r="F27" s="3">
        <f>IFERROR(SUMPRODUCT((dataset!$C$2:$C$807=$A27)*dataset!$I$2:$I$807)/SUMPRODUCT((dataset!$C$2:$C$807=$A27)*(dataset!$I$2:$I$807&lt;&gt;"")),"")</f>
        <v/>
      </c>
      <c r="G27" s="3">
        <f>IFERROR(SUMPRODUCT((dataset!$C$2:$C$807=$A27)*dataset!$J$2:$J$807)/SUMPRODUCT((dataset!$C$2:$C$807=$A27)*(dataset!$J$2:$J$807&lt;&gt;"")),"")</f>
        <v/>
      </c>
    </row>
    <row r="28">
      <c r="A28" s="2" t="inlineStr">
        <is>
          <t>Pete Wendling &amp; Max Kortlander</t>
        </is>
      </c>
      <c r="B28" s="2">
        <f>SUMPRODUCT(--(dataset!$C$2:$C$807=$A28))</f>
        <v/>
      </c>
      <c r="C28" s="3">
        <f>SUMPRODUCT((dataset!$C$2:$C$807=$A28)*dataset!$B$2:$B$807)/B28</f>
        <v/>
      </c>
      <c r="D28" s="2">
        <f>_xlfn.MINIFS(dataset!$B$2:$B$807,dataset!$C$2:$C$807,$A28)</f>
        <v/>
      </c>
      <c r="E28" s="2">
        <f>_xlfn.MAXIFS(dataset!$B$2:$B$807,dataset!$C$2:$C$807,$A28)</f>
        <v/>
      </c>
      <c r="F28" s="3">
        <f>IFERROR(SUMPRODUCT((dataset!$C$2:$C$807=$A28)*dataset!$I$2:$I$807)/SUMPRODUCT((dataset!$C$2:$C$807=$A28)*(dataset!$I$2:$I$807&lt;&gt;"")),"")</f>
        <v/>
      </c>
      <c r="G28" s="3">
        <f>IFERROR(SUMPRODUCT((dataset!$C$2:$C$807=$A28)*dataset!$J$2:$J$807)/SUMPRODUCT((dataset!$C$2:$C$807=$A28)*(dataset!$J$2:$J$807&lt;&gt;"")),"")</f>
        <v/>
      </c>
    </row>
    <row r="29">
      <c r="A29" s="2" t="inlineStr">
        <is>
          <t>Ramin Djawadi</t>
        </is>
      </c>
      <c r="B29" s="2">
        <f>SUMPRODUCT(--(dataset!$C$2:$C$807=$A29))</f>
        <v/>
      </c>
      <c r="C29" s="3">
        <f>SUMPRODUCT((dataset!$C$2:$C$807=$A29)*dataset!$B$2:$B$807)/B29</f>
        <v/>
      </c>
      <c r="D29" s="2">
        <f>_xlfn.MINIFS(dataset!$B$2:$B$807,dataset!$C$2:$C$807,$A29)</f>
        <v/>
      </c>
      <c r="E29" s="2">
        <f>_xlfn.MAXIFS(dataset!$B$2:$B$807,dataset!$C$2:$C$807,$A29)</f>
        <v/>
      </c>
      <c r="F29" s="3">
        <f>IFERROR(SUMPRODUCT((dataset!$C$2:$C$807=$A29)*dataset!$I$2:$I$807)/SUMPRODUCT((dataset!$C$2:$C$807=$A29)*(dataset!$I$2:$I$807&lt;&gt;"")),"")</f>
        <v/>
      </c>
      <c r="G29" s="3">
        <f>IFERROR(SUMPRODUCT((dataset!$C$2:$C$807=$A29)*dataset!$J$2:$J$807)/SUMPRODUCT((dataset!$C$2:$C$807=$A29)*(dataset!$J$2:$J$807&lt;&gt;"")),"")</f>
        <v/>
      </c>
    </row>
    <row r="30">
      <c r="A30" s="2" t="inlineStr">
        <is>
          <t>Roy Bargy</t>
        </is>
      </c>
      <c r="B30" s="2">
        <f>SUMPRODUCT(--(dataset!$C$2:$C$807=$A30))</f>
        <v/>
      </c>
      <c r="C30" s="3">
        <f>SUMPRODUCT((dataset!$C$2:$C$807=$A30)*dataset!$B$2:$B$807)/B30</f>
        <v/>
      </c>
      <c r="D30" s="2">
        <f>_xlfn.MINIFS(dataset!$B$2:$B$807,dataset!$C$2:$C$807,$A30)</f>
        <v/>
      </c>
      <c r="E30" s="2">
        <f>_xlfn.MAXIFS(dataset!$B$2:$B$807,dataset!$C$2:$C$807,$A30)</f>
        <v/>
      </c>
      <c r="F30" s="3">
        <f>IFERROR(SUMPRODUCT((dataset!$C$2:$C$807=$A30)*dataset!$I$2:$I$807)/SUMPRODUCT((dataset!$C$2:$C$807=$A30)*(dataset!$I$2:$I$807&lt;&gt;"")),"")</f>
        <v/>
      </c>
      <c r="G30" s="3">
        <f>IFERROR(SUMPRODUCT((dataset!$C$2:$C$807=$A30)*dataset!$J$2:$J$807)/SUMPRODUCT((dataset!$C$2:$C$807=$A30)*(dataset!$J$2:$J$807&lt;&gt;"")),"")</f>
        <v/>
      </c>
    </row>
    <row r="31">
      <c r="A31" s="2" t="inlineStr">
        <is>
          <t>Aidan Clanton</t>
        </is>
      </c>
      <c r="B31" s="2">
        <f>SUMPRODUCT(--(dataset!$C$2:$C$807=$A31))</f>
        <v/>
      </c>
      <c r="C31" s="3">
        <f>SUMPRODUCT((dataset!$C$2:$C$807=$A31)*dataset!$B$2:$B$807)/B31</f>
        <v/>
      </c>
      <c r="D31" s="2">
        <f>_xlfn.MINIFS(dataset!$B$2:$B$807,dataset!$C$2:$C$807,$A31)</f>
        <v/>
      </c>
      <c r="E31" s="2">
        <f>_xlfn.MAXIFS(dataset!$B$2:$B$807,dataset!$C$2:$C$807,$A31)</f>
        <v/>
      </c>
      <c r="F31" s="3">
        <f>IFERROR(SUMPRODUCT((dataset!$C$2:$C$807=$A31)*dataset!$I$2:$I$807)/SUMPRODUCT((dataset!$C$2:$C$807=$A31)*(dataset!$I$2:$I$807&lt;&gt;"")),"")</f>
        <v/>
      </c>
      <c r="G31" s="3">
        <f>IFERROR(SUMPRODUCT((dataset!$C$2:$C$807=$A31)*dataset!$J$2:$J$807)/SUMPRODUCT((dataset!$C$2:$C$807=$A31)*(dataset!$J$2:$J$807&lt;&gt;"")),"")</f>
        <v/>
      </c>
    </row>
    <row r="32">
      <c r="A32" s="2" t="inlineStr">
        <is>
          <t>Antonio Vivaldi</t>
        </is>
      </c>
      <c r="B32" s="2">
        <f>SUMPRODUCT(--(dataset!$C$2:$C$807=$A32))</f>
        <v/>
      </c>
      <c r="C32" s="3">
        <f>SUMPRODUCT((dataset!$C$2:$C$807=$A32)*dataset!$B$2:$B$807)/B32</f>
        <v/>
      </c>
      <c r="D32" s="2">
        <f>_xlfn.MINIFS(dataset!$B$2:$B$807,dataset!$C$2:$C$807,$A32)</f>
        <v/>
      </c>
      <c r="E32" s="2">
        <f>_xlfn.MAXIFS(dataset!$B$2:$B$807,dataset!$C$2:$C$807,$A32)</f>
        <v/>
      </c>
      <c r="F32" s="3">
        <f>IFERROR(SUMPRODUCT((dataset!$C$2:$C$807=$A32)*dataset!$I$2:$I$807)/SUMPRODUCT((dataset!$C$2:$C$807=$A32)*(dataset!$I$2:$I$807&lt;&gt;"")),"")</f>
        <v/>
      </c>
      <c r="G32" s="3">
        <f>IFERROR(SUMPRODUCT((dataset!$C$2:$C$807=$A32)*dataset!$J$2:$J$807)/SUMPRODUCT((dataset!$C$2:$C$807=$A32)*(dataset!$J$2:$J$807&lt;&gt;"")),"")</f>
        <v/>
      </c>
    </row>
    <row r="33">
      <c r="A33" s="2" t="inlineStr">
        <is>
          <t>Asuka Ohta &amp; Ryo Nagamatsu</t>
        </is>
      </c>
      <c r="B33" s="2">
        <f>SUMPRODUCT(--(dataset!$C$2:$C$807=$A33))</f>
        <v/>
      </c>
      <c r="C33" s="3">
        <f>SUMPRODUCT((dataset!$C$2:$C$807=$A33)*dataset!$B$2:$B$807)/B33</f>
        <v/>
      </c>
      <c r="D33" s="2">
        <f>_xlfn.MINIFS(dataset!$B$2:$B$807,dataset!$C$2:$C$807,$A33)</f>
        <v/>
      </c>
      <c r="E33" s="2">
        <f>_xlfn.MAXIFS(dataset!$B$2:$B$807,dataset!$C$2:$C$807,$A33)</f>
        <v/>
      </c>
      <c r="F33" s="3">
        <f>IFERROR(SUMPRODUCT((dataset!$C$2:$C$807=$A33)*dataset!$I$2:$I$807)/SUMPRODUCT((dataset!$C$2:$C$807=$A33)*(dataset!$I$2:$I$807&lt;&gt;"")),"")</f>
        <v/>
      </c>
      <c r="G33" s="3">
        <f>IFERROR(SUMPRODUCT((dataset!$C$2:$C$807=$A33)*dataset!$J$2:$J$807)/SUMPRODUCT((dataset!$C$2:$C$807=$A33)*(dataset!$J$2:$J$807&lt;&gt;"")),"")</f>
        <v/>
      </c>
    </row>
    <row r="34">
      <c r="A34" s="2" t="inlineStr">
        <is>
          <t>C. Luckyth Roberts</t>
        </is>
      </c>
      <c r="B34" s="2">
        <f>SUMPRODUCT(--(dataset!$C$2:$C$807=$A34))</f>
        <v/>
      </c>
      <c r="C34" s="3">
        <f>SUMPRODUCT((dataset!$C$2:$C$807=$A34)*dataset!$B$2:$B$807)/B34</f>
        <v/>
      </c>
      <c r="D34" s="2">
        <f>_xlfn.MINIFS(dataset!$B$2:$B$807,dataset!$C$2:$C$807,$A34)</f>
        <v/>
      </c>
      <c r="E34" s="2">
        <f>_xlfn.MAXIFS(dataset!$B$2:$B$807,dataset!$C$2:$C$807,$A34)</f>
        <v/>
      </c>
      <c r="F34" s="3">
        <f>IFERROR(SUMPRODUCT((dataset!$C$2:$C$807=$A34)*dataset!$I$2:$I$807)/SUMPRODUCT((dataset!$C$2:$C$807=$A34)*(dataset!$I$2:$I$807&lt;&gt;"")),"")</f>
        <v/>
      </c>
      <c r="G34" s="3">
        <f>IFERROR(SUMPRODUCT((dataset!$C$2:$C$807=$A34)*dataset!$J$2:$J$807)/SUMPRODUCT((dataset!$C$2:$C$807=$A34)*(dataset!$J$2:$J$807&lt;&gt;"")),"")</f>
        <v/>
      </c>
    </row>
    <row r="35">
      <c r="A35" s="2" t="inlineStr">
        <is>
          <t>Carl Philipp Emanuel Bach</t>
        </is>
      </c>
      <c r="B35" s="2">
        <f>SUMPRODUCT(--(dataset!$C$2:$C$807=$A35))</f>
        <v/>
      </c>
      <c r="C35" s="3">
        <f>SUMPRODUCT((dataset!$C$2:$C$807=$A35)*dataset!$B$2:$B$807)/B35</f>
        <v/>
      </c>
      <c r="D35" s="2">
        <f>_xlfn.MINIFS(dataset!$B$2:$B$807,dataset!$C$2:$C$807,$A35)</f>
        <v/>
      </c>
      <c r="E35" s="2">
        <f>_xlfn.MAXIFS(dataset!$B$2:$B$807,dataset!$C$2:$C$807,$A35)</f>
        <v/>
      </c>
      <c r="F35" s="3">
        <f>IFERROR(SUMPRODUCT((dataset!$C$2:$C$807=$A35)*dataset!$I$2:$I$807)/SUMPRODUCT((dataset!$C$2:$C$807=$A35)*(dataset!$I$2:$I$807&lt;&gt;"")),"")</f>
        <v/>
      </c>
      <c r="G35" s="3">
        <f>IFERROR(SUMPRODUCT((dataset!$C$2:$C$807=$A35)*dataset!$J$2:$J$807)/SUMPRODUCT((dataset!$C$2:$C$807=$A35)*(dataset!$J$2:$J$807&lt;&gt;"")),"")</f>
        <v/>
      </c>
    </row>
    <row r="36">
      <c r="A36" s="2" t="inlineStr">
        <is>
          <t>Carolina Sevciovic Lopes</t>
        </is>
      </c>
      <c r="B36" s="2">
        <f>SUMPRODUCT(--(dataset!$C$2:$C$807=$A36))</f>
        <v/>
      </c>
      <c r="C36" s="3">
        <f>SUMPRODUCT((dataset!$C$2:$C$807=$A36)*dataset!$B$2:$B$807)/B36</f>
        <v/>
      </c>
      <c r="D36" s="2">
        <f>_xlfn.MINIFS(dataset!$B$2:$B$807,dataset!$C$2:$C$807,$A36)</f>
        <v/>
      </c>
      <c r="E36" s="2">
        <f>_xlfn.MAXIFS(dataset!$B$2:$B$807,dataset!$C$2:$C$807,$A36)</f>
        <v/>
      </c>
      <c r="F36" s="3">
        <f>IFERROR(SUMPRODUCT((dataset!$C$2:$C$807=$A36)*dataset!$I$2:$I$807)/SUMPRODUCT((dataset!$C$2:$C$807=$A36)*(dataset!$I$2:$I$807&lt;&gt;"")),"")</f>
        <v/>
      </c>
      <c r="G36" s="3">
        <f>IFERROR(SUMPRODUCT((dataset!$C$2:$C$807=$A36)*dataset!$J$2:$J$807)/SUMPRODUCT((dataset!$C$2:$C$807=$A36)*(dataset!$J$2:$J$807&lt;&gt;"")),"")</f>
        <v/>
      </c>
    </row>
    <row r="37">
      <c r="A37" s="2" t="inlineStr">
        <is>
          <t>Chris Benna</t>
        </is>
      </c>
      <c r="B37" s="2">
        <f>SUMPRODUCT(--(dataset!$C$2:$C$807=$A37))</f>
        <v/>
      </c>
      <c r="C37" s="3">
        <f>SUMPRODUCT((dataset!$C$2:$C$807=$A37)*dataset!$B$2:$B$807)/B37</f>
        <v/>
      </c>
      <c r="D37" s="2">
        <f>_xlfn.MINIFS(dataset!$B$2:$B$807,dataset!$C$2:$C$807,$A37)</f>
        <v/>
      </c>
      <c r="E37" s="2">
        <f>_xlfn.MAXIFS(dataset!$B$2:$B$807,dataset!$C$2:$C$807,$A37)</f>
        <v/>
      </c>
      <c r="F37" s="3">
        <f>IFERROR(SUMPRODUCT((dataset!$C$2:$C$807=$A37)*dataset!$I$2:$I$807)/SUMPRODUCT((dataset!$C$2:$C$807=$A37)*(dataset!$I$2:$I$807&lt;&gt;"")),"")</f>
        <v/>
      </c>
      <c r="G37" s="3">
        <f>IFERROR(SUMPRODUCT((dataset!$C$2:$C$807=$A37)*dataset!$J$2:$J$807)/SUMPRODUCT((dataset!$C$2:$C$807=$A37)*(dataset!$J$2:$J$807&lt;&gt;"")),"")</f>
        <v/>
      </c>
    </row>
    <row r="38">
      <c r="A38" s="2" t="inlineStr">
        <is>
          <t>Clarence "Pinetop" Smith</t>
        </is>
      </c>
      <c r="B38" s="2">
        <f>SUMPRODUCT(--(dataset!$C$2:$C$807=$A38))</f>
        <v/>
      </c>
      <c r="C38" s="3">
        <f>SUMPRODUCT((dataset!$C$2:$C$807=$A38)*dataset!$B$2:$B$807)/B38</f>
        <v/>
      </c>
      <c r="D38" s="2">
        <f>_xlfn.MINIFS(dataset!$B$2:$B$807,dataset!$C$2:$C$807,$A38)</f>
        <v/>
      </c>
      <c r="E38" s="2">
        <f>_xlfn.MAXIFS(dataset!$B$2:$B$807,dataset!$C$2:$C$807,$A38)</f>
        <v/>
      </c>
      <c r="F38" s="3">
        <f>IFERROR(SUMPRODUCT((dataset!$C$2:$C$807=$A38)*dataset!$I$2:$I$807)/SUMPRODUCT((dataset!$C$2:$C$807=$A38)*(dataset!$I$2:$I$807&lt;&gt;"")),"")</f>
        <v/>
      </c>
      <c r="G38" s="3">
        <f>IFERROR(SUMPRODUCT((dataset!$C$2:$C$807=$A38)*dataset!$J$2:$J$807)/SUMPRODUCT((dataset!$C$2:$C$807=$A38)*(dataset!$J$2:$J$807&lt;&gt;"")),"")</f>
        <v/>
      </c>
    </row>
    <row r="39">
      <c r="A39" s="2" t="inlineStr">
        <is>
          <t>Cristian D'Arrigo</t>
        </is>
      </c>
      <c r="B39" s="2">
        <f>SUMPRODUCT(--(dataset!$C$2:$C$807=$A39))</f>
        <v/>
      </c>
      <c r="C39" s="3">
        <f>SUMPRODUCT((dataset!$C$2:$C$807=$A39)*dataset!$B$2:$B$807)/B39</f>
        <v/>
      </c>
      <c r="D39" s="2">
        <f>_xlfn.MINIFS(dataset!$B$2:$B$807,dataset!$C$2:$C$807,$A39)</f>
        <v/>
      </c>
      <c r="E39" s="2">
        <f>_xlfn.MAXIFS(dataset!$B$2:$B$807,dataset!$C$2:$C$807,$A39)</f>
        <v/>
      </c>
      <c r="F39" s="3">
        <f>IFERROR(SUMPRODUCT((dataset!$C$2:$C$807=$A39)*dataset!$I$2:$I$807)/SUMPRODUCT((dataset!$C$2:$C$807=$A39)*(dataset!$I$2:$I$807&lt;&gt;"")),"")</f>
        <v/>
      </c>
      <c r="G39" s="3">
        <f>IFERROR(SUMPRODUCT((dataset!$C$2:$C$807=$A39)*dataset!$J$2:$J$807)/SUMPRODUCT((dataset!$C$2:$C$807=$A39)*(dataset!$J$2:$J$807&lt;&gt;"")),"")</f>
        <v/>
      </c>
    </row>
    <row r="40">
      <c r="A40" s="2" t="inlineStr">
        <is>
          <t>Dmitri Shostakovich</t>
        </is>
      </c>
      <c r="B40" s="2">
        <f>SUMPRODUCT(--(dataset!$C$2:$C$807=$A40))</f>
        <v/>
      </c>
      <c r="C40" s="3">
        <f>SUMPRODUCT((dataset!$C$2:$C$807=$A40)*dataset!$B$2:$B$807)/B40</f>
        <v/>
      </c>
      <c r="D40" s="2">
        <f>_xlfn.MINIFS(dataset!$B$2:$B$807,dataset!$C$2:$C$807,$A40)</f>
        <v/>
      </c>
      <c r="E40" s="2">
        <f>_xlfn.MAXIFS(dataset!$B$2:$B$807,dataset!$C$2:$C$807,$A40)</f>
        <v/>
      </c>
      <c r="F40" s="3">
        <f>IFERROR(SUMPRODUCT((dataset!$C$2:$C$807=$A40)*dataset!$I$2:$I$807)/SUMPRODUCT((dataset!$C$2:$C$807=$A40)*(dataset!$I$2:$I$807&lt;&gt;"")),"")</f>
        <v/>
      </c>
      <c r="G40" s="3">
        <f>IFERROR(SUMPRODUCT((dataset!$C$2:$C$807=$A40)*dataset!$J$2:$J$807)/SUMPRODUCT((dataset!$C$2:$C$807=$A40)*(dataset!$J$2:$J$807&lt;&gt;"")),"")</f>
        <v/>
      </c>
    </row>
    <row r="41">
      <c r="A41" s="2" t="inlineStr">
        <is>
          <t>Dustin O'Halloran</t>
        </is>
      </c>
      <c r="B41" s="2">
        <f>SUMPRODUCT(--(dataset!$C$2:$C$807=$A41))</f>
        <v/>
      </c>
      <c r="C41" s="3">
        <f>SUMPRODUCT((dataset!$C$2:$C$807=$A41)*dataset!$B$2:$B$807)/B41</f>
        <v/>
      </c>
      <c r="D41" s="2">
        <f>_xlfn.MINIFS(dataset!$B$2:$B$807,dataset!$C$2:$C$807,$A41)</f>
        <v/>
      </c>
      <c r="E41" s="2">
        <f>_xlfn.MAXIFS(dataset!$B$2:$B$807,dataset!$C$2:$C$807,$A41)</f>
        <v/>
      </c>
      <c r="F41" s="3">
        <f>IFERROR(SUMPRODUCT((dataset!$C$2:$C$807=$A41)*dataset!$I$2:$I$807)/SUMPRODUCT((dataset!$C$2:$C$807=$A41)*(dataset!$I$2:$I$807&lt;&gt;"")),"")</f>
        <v/>
      </c>
      <c r="G41" s="3">
        <f>IFERROR(SUMPRODUCT((dataset!$C$2:$C$807=$A41)*dataset!$J$2:$J$807)/SUMPRODUCT((dataset!$C$2:$C$807=$A41)*(dataset!$J$2:$J$807&lt;&gt;"")),"")</f>
        <v/>
      </c>
    </row>
    <row r="42">
      <c r="A42" s="2" t="inlineStr">
        <is>
          <t>Edward B. Claypoole</t>
        </is>
      </c>
      <c r="B42" s="2">
        <f>SUMPRODUCT(--(dataset!$C$2:$C$807=$A42))</f>
        <v/>
      </c>
      <c r="C42" s="3">
        <f>SUMPRODUCT((dataset!$C$2:$C$807=$A42)*dataset!$B$2:$B$807)/B42</f>
        <v/>
      </c>
      <c r="D42" s="2">
        <f>_xlfn.MINIFS(dataset!$B$2:$B$807,dataset!$C$2:$C$807,$A42)</f>
        <v/>
      </c>
      <c r="E42" s="2">
        <f>_xlfn.MAXIFS(dataset!$B$2:$B$807,dataset!$C$2:$C$807,$A42)</f>
        <v/>
      </c>
      <c r="F42" s="3">
        <f>IFERROR(SUMPRODUCT((dataset!$C$2:$C$807=$A42)*dataset!$I$2:$I$807)/SUMPRODUCT((dataset!$C$2:$C$807=$A42)*(dataset!$I$2:$I$807&lt;&gt;"")),"")</f>
        <v/>
      </c>
      <c r="G42" s="3">
        <f>IFERROR(SUMPRODUCT((dataset!$C$2:$C$807=$A42)*dataset!$J$2:$J$807)/SUMPRODUCT((dataset!$C$2:$C$807=$A42)*(dataset!$J$2:$J$807&lt;&gt;"")),"")</f>
        <v/>
      </c>
    </row>
    <row r="43">
      <c r="A43" s="2" t="inlineStr">
        <is>
          <t>Eubie Blake</t>
        </is>
      </c>
      <c r="B43" s="2">
        <f>SUMPRODUCT(--(dataset!$C$2:$C$807=$A43))</f>
        <v/>
      </c>
      <c r="C43" s="3">
        <f>SUMPRODUCT((dataset!$C$2:$C$807=$A43)*dataset!$B$2:$B$807)/B43</f>
        <v/>
      </c>
      <c r="D43" s="2">
        <f>_xlfn.MINIFS(dataset!$B$2:$B$807,dataset!$C$2:$C$807,$A43)</f>
        <v/>
      </c>
      <c r="E43" s="2">
        <f>_xlfn.MAXIFS(dataset!$B$2:$B$807,dataset!$C$2:$C$807,$A43)</f>
        <v/>
      </c>
      <c r="F43" s="3">
        <f>IFERROR(SUMPRODUCT((dataset!$C$2:$C$807=$A43)*dataset!$I$2:$I$807)/SUMPRODUCT((dataset!$C$2:$C$807=$A43)*(dataset!$I$2:$I$807&lt;&gt;"")),"")</f>
        <v/>
      </c>
      <c r="G43" s="3">
        <f>IFERROR(SUMPRODUCT((dataset!$C$2:$C$807=$A43)*dataset!$J$2:$J$807)/SUMPRODUCT((dataset!$C$2:$C$807=$A43)*(dataset!$J$2:$J$807&lt;&gt;"")),"")</f>
        <v/>
      </c>
    </row>
    <row r="44">
      <c r="A44" s="2" t="inlineStr">
        <is>
          <t>Fats Waller</t>
        </is>
      </c>
      <c r="B44" s="2">
        <f>SUMPRODUCT(--(dataset!$C$2:$C$807=$A44))</f>
        <v/>
      </c>
      <c r="C44" s="3">
        <f>SUMPRODUCT((dataset!$C$2:$C$807=$A44)*dataset!$B$2:$B$807)/B44</f>
        <v/>
      </c>
      <c r="D44" s="2">
        <f>_xlfn.MINIFS(dataset!$B$2:$B$807,dataset!$C$2:$C$807,$A44)</f>
        <v/>
      </c>
      <c r="E44" s="2">
        <f>_xlfn.MAXIFS(dataset!$B$2:$B$807,dataset!$C$2:$C$807,$A44)</f>
        <v/>
      </c>
      <c r="F44" s="3">
        <f>IFERROR(SUMPRODUCT((dataset!$C$2:$C$807=$A44)*dataset!$I$2:$I$807)/SUMPRODUCT((dataset!$C$2:$C$807=$A44)*(dataset!$I$2:$I$807&lt;&gt;"")),"")</f>
        <v/>
      </c>
      <c r="G44" s="3">
        <f>IFERROR(SUMPRODUCT((dataset!$C$2:$C$807=$A44)*dataset!$J$2:$J$807)/SUMPRODUCT((dataset!$C$2:$C$807=$A44)*(dataset!$J$2:$J$807&lt;&gt;"")),"")</f>
        <v/>
      </c>
    </row>
    <row r="45">
      <c r="A45" s="2" t="inlineStr">
        <is>
          <t>Georges Bizet</t>
        </is>
      </c>
      <c r="B45" s="2">
        <f>SUMPRODUCT(--(dataset!$C$2:$C$807=$A45))</f>
        <v/>
      </c>
      <c r="C45" s="3">
        <f>SUMPRODUCT((dataset!$C$2:$C$807=$A45)*dataset!$B$2:$B$807)/B45</f>
        <v/>
      </c>
      <c r="D45" s="2">
        <f>_xlfn.MINIFS(dataset!$B$2:$B$807,dataset!$C$2:$C$807,$A45)</f>
        <v/>
      </c>
      <c r="E45" s="2">
        <f>_xlfn.MAXIFS(dataset!$B$2:$B$807,dataset!$C$2:$C$807,$A45)</f>
        <v/>
      </c>
      <c r="F45" s="3">
        <f>IFERROR(SUMPRODUCT((dataset!$C$2:$C$807=$A45)*dataset!$I$2:$I$807)/SUMPRODUCT((dataset!$C$2:$C$807=$A45)*(dataset!$I$2:$I$807&lt;&gt;"")),"")</f>
        <v/>
      </c>
      <c r="G45" s="3">
        <f>IFERROR(SUMPRODUCT((dataset!$C$2:$C$807=$A45)*dataset!$J$2:$J$807)/SUMPRODUCT((dataset!$C$2:$C$807=$A45)*(dataset!$J$2:$J$807&lt;&gt;"")),"")</f>
        <v/>
      </c>
    </row>
    <row r="46">
      <c r="A46" s="2" t="inlineStr">
        <is>
          <t>Griffin McElroy</t>
        </is>
      </c>
      <c r="B46" s="2">
        <f>SUMPRODUCT(--(dataset!$C$2:$C$807=$A46))</f>
        <v/>
      </c>
      <c r="C46" s="3">
        <f>SUMPRODUCT((dataset!$C$2:$C$807=$A46)*dataset!$B$2:$B$807)/B46</f>
        <v/>
      </c>
      <c r="D46" s="2">
        <f>_xlfn.MINIFS(dataset!$B$2:$B$807,dataset!$C$2:$C$807,$A46)</f>
        <v/>
      </c>
      <c r="E46" s="2">
        <f>_xlfn.MAXIFS(dataset!$B$2:$B$807,dataset!$C$2:$C$807,$A46)</f>
        <v/>
      </c>
      <c r="F46" s="3">
        <f>IFERROR(SUMPRODUCT((dataset!$C$2:$C$807=$A46)*dataset!$I$2:$I$807)/SUMPRODUCT((dataset!$C$2:$C$807=$A46)*(dataset!$I$2:$I$807&lt;&gt;"")),"")</f>
        <v/>
      </c>
      <c r="G46" s="3">
        <f>IFERROR(SUMPRODUCT((dataset!$C$2:$C$807=$A46)*dataset!$J$2:$J$807)/SUMPRODUCT((dataset!$C$2:$C$807=$A46)*(dataset!$J$2:$J$807&lt;&gt;"")),"")</f>
        <v/>
      </c>
    </row>
    <row r="47">
      <c r="A47" s="2" t="inlineStr">
        <is>
          <t>Harry J. Lincoln</t>
        </is>
      </c>
      <c r="B47" s="2">
        <f>SUMPRODUCT(--(dataset!$C$2:$C$807=$A47))</f>
        <v/>
      </c>
      <c r="C47" s="3">
        <f>SUMPRODUCT((dataset!$C$2:$C$807=$A47)*dataset!$B$2:$B$807)/B47</f>
        <v/>
      </c>
      <c r="D47" s="2">
        <f>_xlfn.MINIFS(dataset!$B$2:$B$807,dataset!$C$2:$C$807,$A47)</f>
        <v/>
      </c>
      <c r="E47" s="2">
        <f>_xlfn.MAXIFS(dataset!$B$2:$B$807,dataset!$C$2:$C$807,$A47)</f>
        <v/>
      </c>
      <c r="F47" s="3">
        <f>IFERROR(SUMPRODUCT((dataset!$C$2:$C$807=$A47)*dataset!$I$2:$I$807)/SUMPRODUCT((dataset!$C$2:$C$807=$A47)*(dataset!$I$2:$I$807&lt;&gt;"")),"")</f>
        <v/>
      </c>
      <c r="G47" s="3">
        <f>IFERROR(SUMPRODUCT((dataset!$C$2:$C$807=$A47)*dataset!$J$2:$J$807)/SUMPRODUCT((dataset!$C$2:$C$807=$A47)*(dataset!$J$2:$J$807&lt;&gt;"")),"")</f>
        <v/>
      </c>
    </row>
    <row r="48">
      <c r="A48" s="2" t="inlineStr">
        <is>
          <t>Harry Jentes</t>
        </is>
      </c>
      <c r="B48" s="2">
        <f>SUMPRODUCT(--(dataset!$C$2:$C$807=$A48))</f>
        <v/>
      </c>
      <c r="C48" s="3">
        <f>SUMPRODUCT((dataset!$C$2:$C$807=$A48)*dataset!$B$2:$B$807)/B48</f>
        <v/>
      </c>
      <c r="D48" s="2">
        <f>_xlfn.MINIFS(dataset!$B$2:$B$807,dataset!$C$2:$C$807,$A48)</f>
        <v/>
      </c>
      <c r="E48" s="2">
        <f>_xlfn.MAXIFS(dataset!$B$2:$B$807,dataset!$C$2:$C$807,$A48)</f>
        <v/>
      </c>
      <c r="F48" s="3">
        <f>IFERROR(SUMPRODUCT((dataset!$C$2:$C$807=$A48)*dataset!$I$2:$I$807)/SUMPRODUCT((dataset!$C$2:$C$807=$A48)*(dataset!$I$2:$I$807&lt;&gt;"")),"")</f>
        <v/>
      </c>
      <c r="G48" s="3">
        <f>IFERROR(SUMPRODUCT((dataset!$C$2:$C$807=$A48)*dataset!$J$2:$J$807)/SUMPRODUCT((dataset!$C$2:$C$807=$A48)*(dataset!$J$2:$J$807&lt;&gt;"")),"")</f>
        <v/>
      </c>
    </row>
    <row r="49">
      <c r="A49" s="2" t="inlineStr">
        <is>
          <t>Henry Lange</t>
        </is>
      </c>
      <c r="B49" s="2">
        <f>SUMPRODUCT(--(dataset!$C$2:$C$807=$A49))</f>
        <v/>
      </c>
      <c r="C49" s="3">
        <f>SUMPRODUCT((dataset!$C$2:$C$807=$A49)*dataset!$B$2:$B$807)/B49</f>
        <v/>
      </c>
      <c r="D49" s="2">
        <f>_xlfn.MINIFS(dataset!$B$2:$B$807,dataset!$C$2:$C$807,$A49)</f>
        <v/>
      </c>
      <c r="E49" s="2">
        <f>_xlfn.MAXIFS(dataset!$B$2:$B$807,dataset!$C$2:$C$807,$A49)</f>
        <v/>
      </c>
      <c r="F49" s="3">
        <f>IFERROR(SUMPRODUCT((dataset!$C$2:$C$807=$A49)*dataset!$I$2:$I$807)/SUMPRODUCT((dataset!$C$2:$C$807=$A49)*(dataset!$I$2:$I$807&lt;&gt;"")),"")</f>
        <v/>
      </c>
      <c r="G49" s="3">
        <f>IFERROR(SUMPRODUCT((dataset!$C$2:$C$807=$A49)*dataset!$J$2:$J$807)/SUMPRODUCT((dataset!$C$2:$C$807=$A49)*(dataset!$J$2:$J$807&lt;&gt;"")),"")</f>
        <v/>
      </c>
    </row>
    <row r="50">
      <c r="A50" s="2" t="inlineStr">
        <is>
          <t>Henry Lodge</t>
        </is>
      </c>
      <c r="B50" s="2">
        <f>SUMPRODUCT(--(dataset!$C$2:$C$807=$A50))</f>
        <v/>
      </c>
      <c r="C50" s="3">
        <f>SUMPRODUCT((dataset!$C$2:$C$807=$A50)*dataset!$B$2:$B$807)/B50</f>
        <v/>
      </c>
      <c r="D50" s="2">
        <f>_xlfn.MINIFS(dataset!$B$2:$B$807,dataset!$C$2:$C$807,$A50)</f>
        <v/>
      </c>
      <c r="E50" s="2">
        <f>_xlfn.MAXIFS(dataset!$B$2:$B$807,dataset!$C$2:$C$807,$A50)</f>
        <v/>
      </c>
      <c r="F50" s="3">
        <f>IFERROR(SUMPRODUCT((dataset!$C$2:$C$807=$A50)*dataset!$I$2:$I$807)/SUMPRODUCT((dataset!$C$2:$C$807=$A50)*(dataset!$I$2:$I$807&lt;&gt;"")),"")</f>
        <v/>
      </c>
      <c r="G50" s="3">
        <f>IFERROR(SUMPRODUCT((dataset!$C$2:$C$807=$A50)*dataset!$J$2:$J$807)/SUMPRODUCT((dataset!$C$2:$C$807=$A50)*(dataset!$J$2:$J$807&lt;&gt;"")),"")</f>
        <v/>
      </c>
    </row>
    <row r="51">
      <c r="A51" s="2" t="inlineStr">
        <is>
          <t>J. Russel Robinson</t>
        </is>
      </c>
      <c r="B51" s="2">
        <f>SUMPRODUCT(--(dataset!$C$2:$C$807=$A51))</f>
        <v/>
      </c>
      <c r="C51" s="3">
        <f>SUMPRODUCT((dataset!$C$2:$C$807=$A51)*dataset!$B$2:$B$807)/B51</f>
        <v/>
      </c>
      <c r="D51" s="2">
        <f>_xlfn.MINIFS(dataset!$B$2:$B$807,dataset!$C$2:$C$807,$A51)</f>
        <v/>
      </c>
      <c r="E51" s="2">
        <f>_xlfn.MAXIFS(dataset!$B$2:$B$807,dataset!$C$2:$C$807,$A51)</f>
        <v/>
      </c>
      <c r="F51" s="3">
        <f>IFERROR(SUMPRODUCT((dataset!$C$2:$C$807=$A51)*dataset!$I$2:$I$807)/SUMPRODUCT((dataset!$C$2:$C$807=$A51)*(dataset!$I$2:$I$807&lt;&gt;"")),"")</f>
        <v/>
      </c>
      <c r="G51" s="3">
        <f>IFERROR(SUMPRODUCT((dataset!$C$2:$C$807=$A51)*dataset!$J$2:$J$807)/SUMPRODUCT((dataset!$C$2:$C$807=$A51)*(dataset!$J$2:$J$807&lt;&gt;"")),"")</f>
        <v/>
      </c>
    </row>
    <row r="52">
      <c r="A52" s="2" t="inlineStr">
        <is>
          <t>J.L.</t>
        </is>
      </c>
      <c r="B52" s="2">
        <f>SUMPRODUCT(--(dataset!$C$2:$C$807=$A52))</f>
        <v/>
      </c>
      <c r="C52" s="3">
        <f>SUMPRODUCT((dataset!$C$2:$C$807=$A52)*dataset!$B$2:$B$807)/B52</f>
        <v/>
      </c>
      <c r="D52" s="2">
        <f>_xlfn.MINIFS(dataset!$B$2:$B$807,dataset!$C$2:$C$807,$A52)</f>
        <v/>
      </c>
      <c r="E52" s="2">
        <f>_xlfn.MAXIFS(dataset!$B$2:$B$807,dataset!$C$2:$C$807,$A52)</f>
        <v/>
      </c>
      <c r="F52" s="3">
        <f>IFERROR(SUMPRODUCT((dataset!$C$2:$C$807=$A52)*dataset!$I$2:$I$807)/SUMPRODUCT((dataset!$C$2:$C$807=$A52)*(dataset!$I$2:$I$807&lt;&gt;"")),"")</f>
        <v/>
      </c>
      <c r="G52" s="3">
        <f>IFERROR(SUMPRODUCT((dataset!$C$2:$C$807=$A52)*dataset!$J$2:$J$807)/SUMPRODUCT((dataset!$C$2:$C$807=$A52)*(dataset!$J$2:$J$807&lt;&gt;"")),"")</f>
        <v/>
      </c>
    </row>
    <row r="53">
      <c r="A53" s="2" t="inlineStr">
        <is>
          <t>Jean Schwartz</t>
        </is>
      </c>
      <c r="B53" s="2">
        <f>SUMPRODUCT(--(dataset!$C$2:$C$807=$A53))</f>
        <v/>
      </c>
      <c r="C53" s="3">
        <f>SUMPRODUCT((dataset!$C$2:$C$807=$A53)*dataset!$B$2:$B$807)/B53</f>
        <v/>
      </c>
      <c r="D53" s="2">
        <f>_xlfn.MINIFS(dataset!$B$2:$B$807,dataset!$C$2:$C$807,$A53)</f>
        <v/>
      </c>
      <c r="E53" s="2">
        <f>_xlfn.MAXIFS(dataset!$B$2:$B$807,dataset!$C$2:$C$807,$A53)</f>
        <v/>
      </c>
      <c r="F53" s="3">
        <f>IFERROR(SUMPRODUCT((dataset!$C$2:$C$807=$A53)*dataset!$I$2:$I$807)/SUMPRODUCT((dataset!$C$2:$C$807=$A53)*(dataset!$I$2:$I$807&lt;&gt;"")),"")</f>
        <v/>
      </c>
      <c r="G53" s="3">
        <f>IFERROR(SUMPRODUCT((dataset!$C$2:$C$807=$A53)*dataset!$J$2:$J$807)/SUMPRODUCT((dataset!$C$2:$C$807=$A53)*(dataset!$J$2:$J$807&lt;&gt;"")),"")</f>
        <v/>
      </c>
    </row>
    <row r="54">
      <c r="A54" s="2" t="inlineStr">
        <is>
          <t>Jean-Baptiste Duvernoy</t>
        </is>
      </c>
      <c r="B54" s="2">
        <f>SUMPRODUCT(--(dataset!$C$2:$C$807=$A54))</f>
        <v/>
      </c>
      <c r="C54" s="3">
        <f>SUMPRODUCT((dataset!$C$2:$C$807=$A54)*dataset!$B$2:$B$807)/B54</f>
        <v/>
      </c>
      <c r="D54" s="2">
        <f>_xlfn.MINIFS(dataset!$B$2:$B$807,dataset!$C$2:$C$807,$A54)</f>
        <v/>
      </c>
      <c r="E54" s="2">
        <f>_xlfn.MAXIFS(dataset!$B$2:$B$807,dataset!$C$2:$C$807,$A54)</f>
        <v/>
      </c>
      <c r="F54" s="3">
        <f>IFERROR(SUMPRODUCT((dataset!$C$2:$C$807=$A54)*dataset!$I$2:$I$807)/SUMPRODUCT((dataset!$C$2:$C$807=$A54)*(dataset!$I$2:$I$807&lt;&gt;"")),"")</f>
        <v/>
      </c>
      <c r="G54" s="3">
        <f>IFERROR(SUMPRODUCT((dataset!$C$2:$C$807=$A54)*dataset!$J$2:$J$807)/SUMPRODUCT((dataset!$C$2:$C$807=$A54)*(dataset!$J$2:$J$807&lt;&gt;"")),"")</f>
        <v/>
      </c>
    </row>
    <row r="55">
      <c r="A55" s="2" t="inlineStr">
        <is>
          <t>Joe Hisaishi</t>
        </is>
      </c>
      <c r="B55" s="2">
        <f>SUMPRODUCT(--(dataset!$C$2:$C$807=$A55))</f>
        <v/>
      </c>
      <c r="C55" s="3">
        <f>SUMPRODUCT((dataset!$C$2:$C$807=$A55)*dataset!$B$2:$B$807)/B55</f>
        <v/>
      </c>
      <c r="D55" s="2">
        <f>_xlfn.MINIFS(dataset!$B$2:$B$807,dataset!$C$2:$C$807,$A55)</f>
        <v/>
      </c>
      <c r="E55" s="2">
        <f>_xlfn.MAXIFS(dataset!$B$2:$B$807,dataset!$C$2:$C$807,$A55)</f>
        <v/>
      </c>
      <c r="F55" s="3">
        <f>IFERROR(SUMPRODUCT((dataset!$C$2:$C$807=$A55)*dataset!$I$2:$I$807)/SUMPRODUCT((dataset!$C$2:$C$807=$A55)*(dataset!$I$2:$I$807&lt;&gt;"")),"")</f>
        <v/>
      </c>
      <c r="G55" s="3">
        <f>IFERROR(SUMPRODUCT((dataset!$C$2:$C$807=$A55)*dataset!$J$2:$J$807)/SUMPRODUCT((dataset!$C$2:$C$807=$A55)*(dataset!$J$2:$J$807&lt;&gt;"")),"")</f>
        <v/>
      </c>
    </row>
    <row r="56">
      <c r="A56" s="2" t="inlineStr">
        <is>
          <t>Joseph F. Lamb</t>
        </is>
      </c>
      <c r="B56" s="2">
        <f>SUMPRODUCT(--(dataset!$C$2:$C$807=$A56))</f>
        <v/>
      </c>
      <c r="C56" s="3">
        <f>SUMPRODUCT((dataset!$C$2:$C$807=$A56)*dataset!$B$2:$B$807)/B56</f>
        <v/>
      </c>
      <c r="D56" s="2">
        <f>_xlfn.MINIFS(dataset!$B$2:$B$807,dataset!$C$2:$C$807,$A56)</f>
        <v/>
      </c>
      <c r="E56" s="2">
        <f>_xlfn.MAXIFS(dataset!$B$2:$B$807,dataset!$C$2:$C$807,$A56)</f>
        <v/>
      </c>
      <c r="F56" s="3">
        <f>IFERROR(SUMPRODUCT((dataset!$C$2:$C$807=$A56)*dataset!$I$2:$I$807)/SUMPRODUCT((dataset!$C$2:$C$807=$A56)*(dataset!$I$2:$I$807&lt;&gt;"")),"")</f>
        <v/>
      </c>
      <c r="G56" s="3">
        <f>IFERROR(SUMPRODUCT((dataset!$C$2:$C$807=$A56)*dataset!$J$2:$J$807)/SUMPRODUCT((dataset!$C$2:$C$807=$A56)*(dataset!$J$2:$J$807&lt;&gt;"")),"")</f>
        <v/>
      </c>
    </row>
    <row r="57">
      <c r="A57" s="2" t="inlineStr">
        <is>
          <t>Koji Kondo</t>
        </is>
      </c>
      <c r="B57" s="2">
        <f>SUMPRODUCT(--(dataset!$C$2:$C$807=$A57))</f>
        <v/>
      </c>
      <c r="C57" s="3">
        <f>SUMPRODUCT((dataset!$C$2:$C$807=$A57)*dataset!$B$2:$B$807)/B57</f>
        <v/>
      </c>
      <c r="D57" s="2">
        <f>_xlfn.MINIFS(dataset!$B$2:$B$807,dataset!$C$2:$C$807,$A57)</f>
        <v/>
      </c>
      <c r="E57" s="2">
        <f>_xlfn.MAXIFS(dataset!$B$2:$B$807,dataset!$C$2:$C$807,$A57)</f>
        <v/>
      </c>
      <c r="F57" s="3">
        <f>IFERROR(SUMPRODUCT((dataset!$C$2:$C$807=$A57)*dataset!$I$2:$I$807)/SUMPRODUCT((dataset!$C$2:$C$807=$A57)*(dataset!$I$2:$I$807&lt;&gt;"")),"")</f>
        <v/>
      </c>
      <c r="G57" s="3">
        <f>IFERROR(SUMPRODUCT((dataset!$C$2:$C$807=$A57)*dataset!$J$2:$J$807)/SUMPRODUCT((dataset!$C$2:$C$807=$A57)*(dataset!$J$2:$J$807&lt;&gt;"")),"")</f>
        <v/>
      </c>
    </row>
    <row r="58">
      <c r="A58" s="2" t="inlineStr">
        <is>
          <t>Libbie Erickson</t>
        </is>
      </c>
      <c r="B58" s="2">
        <f>SUMPRODUCT(--(dataset!$C$2:$C$807=$A58))</f>
        <v/>
      </c>
      <c r="C58" s="3">
        <f>SUMPRODUCT((dataset!$C$2:$C$807=$A58)*dataset!$B$2:$B$807)/B58</f>
        <v/>
      </c>
      <c r="D58" s="2">
        <f>_xlfn.MINIFS(dataset!$B$2:$B$807,dataset!$C$2:$C$807,$A58)</f>
        <v/>
      </c>
      <c r="E58" s="2">
        <f>_xlfn.MAXIFS(dataset!$B$2:$B$807,dataset!$C$2:$C$807,$A58)</f>
        <v/>
      </c>
      <c r="F58" s="3">
        <f>IFERROR(SUMPRODUCT((dataset!$C$2:$C$807=$A58)*dataset!$I$2:$I$807)/SUMPRODUCT((dataset!$C$2:$C$807=$A58)*(dataset!$I$2:$I$807&lt;&gt;"")),"")</f>
        <v/>
      </c>
      <c r="G58" s="3">
        <f>IFERROR(SUMPRODUCT((dataset!$C$2:$C$807=$A58)*dataset!$J$2:$J$807)/SUMPRODUCT((dataset!$C$2:$C$807=$A58)*(dataset!$J$2:$J$807&lt;&gt;"")),"")</f>
        <v/>
      </c>
    </row>
    <row r="59">
      <c r="A59" s="2" t="inlineStr">
        <is>
          <t>Lorde</t>
        </is>
      </c>
      <c r="B59" s="2">
        <f>SUMPRODUCT(--(dataset!$C$2:$C$807=$A59))</f>
        <v/>
      </c>
      <c r="C59" s="3">
        <f>SUMPRODUCT((dataset!$C$2:$C$807=$A59)*dataset!$B$2:$B$807)/B59</f>
        <v/>
      </c>
      <c r="D59" s="2">
        <f>_xlfn.MINIFS(dataset!$B$2:$B$807,dataset!$C$2:$C$807,$A59)</f>
        <v/>
      </c>
      <c r="E59" s="2">
        <f>_xlfn.MAXIFS(dataset!$B$2:$B$807,dataset!$C$2:$C$807,$A59)</f>
        <v/>
      </c>
      <c r="F59" s="3">
        <f>IFERROR(SUMPRODUCT((dataset!$C$2:$C$807=$A59)*dataset!$I$2:$I$807)/SUMPRODUCT((dataset!$C$2:$C$807=$A59)*(dataset!$I$2:$I$807&lt;&gt;"")),"")</f>
        <v/>
      </c>
      <c r="G59" s="3">
        <f>IFERROR(SUMPRODUCT((dataset!$C$2:$C$807=$A59)*dataset!$J$2:$J$807)/SUMPRODUCT((dataset!$C$2:$C$807=$A59)*(dataset!$J$2:$J$807&lt;&gt;"")),"")</f>
        <v/>
      </c>
    </row>
    <row r="60">
      <c r="A60" s="2" t="inlineStr">
        <is>
          <t>Mahito Yokota</t>
        </is>
      </c>
      <c r="B60" s="2">
        <f>SUMPRODUCT(--(dataset!$C$2:$C$807=$A60))</f>
        <v/>
      </c>
      <c r="C60" s="3">
        <f>SUMPRODUCT((dataset!$C$2:$C$807=$A60)*dataset!$B$2:$B$807)/B60</f>
        <v/>
      </c>
      <c r="D60" s="2">
        <f>_xlfn.MINIFS(dataset!$B$2:$B$807,dataset!$C$2:$C$807,$A60)</f>
        <v/>
      </c>
      <c r="E60" s="2">
        <f>_xlfn.MAXIFS(dataset!$B$2:$B$807,dataset!$C$2:$C$807,$A60)</f>
        <v/>
      </c>
      <c r="F60" s="3">
        <f>IFERROR(SUMPRODUCT((dataset!$C$2:$C$807=$A60)*dataset!$I$2:$I$807)/SUMPRODUCT((dataset!$C$2:$C$807=$A60)*(dataset!$I$2:$I$807&lt;&gt;"")),"")</f>
        <v/>
      </c>
      <c r="G60" s="3">
        <f>IFERROR(SUMPRODUCT((dataset!$C$2:$C$807=$A60)*dataset!$J$2:$J$807)/SUMPRODUCT((dataset!$C$2:$C$807=$A60)*(dataset!$J$2:$J$807&lt;&gt;"")),"")</f>
        <v/>
      </c>
    </row>
    <row r="61">
      <c r="A61" s="2" t="inlineStr">
        <is>
          <t>May Aufderheide</t>
        </is>
      </c>
      <c r="B61" s="2">
        <f>SUMPRODUCT(--(dataset!$C$2:$C$807=$A61))</f>
        <v/>
      </c>
      <c r="C61" s="3">
        <f>SUMPRODUCT((dataset!$C$2:$C$807=$A61)*dataset!$B$2:$B$807)/B61</f>
        <v/>
      </c>
      <c r="D61" s="2">
        <f>_xlfn.MINIFS(dataset!$B$2:$B$807,dataset!$C$2:$C$807,$A61)</f>
        <v/>
      </c>
      <c r="E61" s="2">
        <f>_xlfn.MAXIFS(dataset!$B$2:$B$807,dataset!$C$2:$C$807,$A61)</f>
        <v/>
      </c>
      <c r="F61" s="3">
        <f>IFERROR(SUMPRODUCT((dataset!$C$2:$C$807=$A61)*dataset!$I$2:$I$807)/SUMPRODUCT((dataset!$C$2:$C$807=$A61)*(dataset!$I$2:$I$807&lt;&gt;"")),"")</f>
        <v/>
      </c>
      <c r="G61" s="3">
        <f>IFERROR(SUMPRODUCT((dataset!$C$2:$C$807=$A61)*dataset!$J$2:$J$807)/SUMPRODUCT((dataset!$C$2:$C$807=$A61)*(dataset!$J$2:$J$807&lt;&gt;"")),"")</f>
        <v/>
      </c>
    </row>
    <row r="62">
      <c r="A62" s="2" t="inlineStr">
        <is>
          <t>Mily Balakirev</t>
        </is>
      </c>
      <c r="B62" s="2">
        <f>SUMPRODUCT(--(dataset!$C$2:$C$807=$A62))</f>
        <v/>
      </c>
      <c r="C62" s="3">
        <f>SUMPRODUCT((dataset!$C$2:$C$807=$A62)*dataset!$B$2:$B$807)/B62</f>
        <v/>
      </c>
      <c r="D62" s="2">
        <f>_xlfn.MINIFS(dataset!$B$2:$B$807,dataset!$C$2:$C$807,$A62)</f>
        <v/>
      </c>
      <c r="E62" s="2">
        <f>_xlfn.MAXIFS(dataset!$B$2:$B$807,dataset!$C$2:$C$807,$A62)</f>
        <v/>
      </c>
      <c r="F62" s="3">
        <f>IFERROR(SUMPRODUCT((dataset!$C$2:$C$807=$A62)*dataset!$I$2:$I$807)/SUMPRODUCT((dataset!$C$2:$C$807=$A62)*(dataset!$I$2:$I$807&lt;&gt;"")),"")</f>
        <v/>
      </c>
      <c r="G62" s="3">
        <f>IFERROR(SUMPRODUCT((dataset!$C$2:$C$807=$A62)*dataset!$J$2:$J$807)/SUMPRODUCT((dataset!$C$2:$C$807=$A62)*(dataset!$J$2:$J$807&lt;&gt;"")),"")</f>
        <v/>
      </c>
    </row>
    <row r="63">
      <c r="A63" s="2" t="inlineStr">
        <is>
          <t>Molly Jaynes</t>
        </is>
      </c>
      <c r="B63" s="2">
        <f>SUMPRODUCT(--(dataset!$C$2:$C$807=$A63))</f>
        <v/>
      </c>
      <c r="C63" s="3">
        <f>SUMPRODUCT((dataset!$C$2:$C$807=$A63)*dataset!$B$2:$B$807)/B63</f>
        <v/>
      </c>
      <c r="D63" s="2">
        <f>_xlfn.MINIFS(dataset!$B$2:$B$807,dataset!$C$2:$C$807,$A63)</f>
        <v/>
      </c>
      <c r="E63" s="2">
        <f>_xlfn.MAXIFS(dataset!$B$2:$B$807,dataset!$C$2:$C$807,$A63)</f>
        <v/>
      </c>
      <c r="F63" s="3">
        <f>IFERROR(SUMPRODUCT((dataset!$C$2:$C$807=$A63)*dataset!$I$2:$I$807)/SUMPRODUCT((dataset!$C$2:$C$807=$A63)*(dataset!$I$2:$I$807&lt;&gt;"")),"")</f>
        <v/>
      </c>
      <c r="G63" s="3">
        <f>IFERROR(SUMPRODUCT((dataset!$C$2:$C$807=$A63)*dataset!$J$2:$J$807)/SUMPRODUCT((dataset!$C$2:$C$807=$A63)*(dataset!$J$2:$J$807&lt;&gt;"")),"")</f>
        <v/>
      </c>
    </row>
    <row r="64">
      <c r="A64" s="2" t="inlineStr">
        <is>
          <t>Nicolas Mason</t>
        </is>
      </c>
      <c r="B64" s="2">
        <f>SUMPRODUCT(--(dataset!$C$2:$C$807=$A64))</f>
        <v/>
      </c>
      <c r="C64" s="3">
        <f>SUMPRODUCT((dataset!$C$2:$C$807=$A64)*dataset!$B$2:$B$807)/B64</f>
        <v/>
      </c>
      <c r="D64" s="2">
        <f>_xlfn.MINIFS(dataset!$B$2:$B$807,dataset!$C$2:$C$807,$A64)</f>
        <v/>
      </c>
      <c r="E64" s="2">
        <f>_xlfn.MAXIFS(dataset!$B$2:$B$807,dataset!$C$2:$C$807,$A64)</f>
        <v/>
      </c>
      <c r="F64" s="3">
        <f>IFERROR(SUMPRODUCT((dataset!$C$2:$C$807=$A64)*dataset!$I$2:$I$807)/SUMPRODUCT((dataset!$C$2:$C$807=$A64)*(dataset!$I$2:$I$807&lt;&gt;"")),"")</f>
        <v/>
      </c>
      <c r="G64" s="3">
        <f>IFERROR(SUMPRODUCT((dataset!$C$2:$C$807=$A64)*dataset!$J$2:$J$807)/SUMPRODUCT((dataset!$C$2:$C$807=$A64)*(dataset!$J$2:$J$807&lt;&gt;"")),"")</f>
        <v/>
      </c>
    </row>
    <row r="65">
      <c r="A65" s="2" t="inlineStr">
        <is>
          <t>Nikolai Rimsky-Korsakov</t>
        </is>
      </c>
      <c r="B65" s="2">
        <f>SUMPRODUCT(--(dataset!$C$2:$C$807=$A65))</f>
        <v/>
      </c>
      <c r="C65" s="3">
        <f>SUMPRODUCT((dataset!$C$2:$C$807=$A65)*dataset!$B$2:$B$807)/B65</f>
        <v/>
      </c>
      <c r="D65" s="2">
        <f>_xlfn.MINIFS(dataset!$B$2:$B$807,dataset!$C$2:$C$807,$A65)</f>
        <v/>
      </c>
      <c r="E65" s="2">
        <f>_xlfn.MAXIFS(dataset!$B$2:$B$807,dataset!$C$2:$C$807,$A65)</f>
        <v/>
      </c>
      <c r="F65" s="3">
        <f>IFERROR(SUMPRODUCT((dataset!$C$2:$C$807=$A65)*dataset!$I$2:$I$807)/SUMPRODUCT((dataset!$C$2:$C$807=$A65)*(dataset!$I$2:$I$807&lt;&gt;"")),"")</f>
        <v/>
      </c>
      <c r="G65" s="3">
        <f>IFERROR(SUMPRODUCT((dataset!$C$2:$C$807=$A65)*dataset!$J$2:$J$807)/SUMPRODUCT((dataset!$C$2:$C$807=$A65)*(dataset!$J$2:$J$807&lt;&gt;"")),"")</f>
        <v/>
      </c>
    </row>
    <row r="66">
      <c r="A66" s="2" t="inlineStr">
        <is>
          <t>Pfeil</t>
        </is>
      </c>
      <c r="B66" s="2">
        <f>SUMPRODUCT(--(dataset!$C$2:$C$807=$A66))</f>
        <v/>
      </c>
      <c r="C66" s="3">
        <f>SUMPRODUCT((dataset!$C$2:$C$807=$A66)*dataset!$B$2:$B$807)/B66</f>
        <v/>
      </c>
      <c r="D66" s="2">
        <f>_xlfn.MINIFS(dataset!$B$2:$B$807,dataset!$C$2:$C$807,$A66)</f>
        <v/>
      </c>
      <c r="E66" s="2">
        <f>_xlfn.MAXIFS(dataset!$B$2:$B$807,dataset!$C$2:$C$807,$A66)</f>
        <v/>
      </c>
      <c r="F66" s="3">
        <f>IFERROR(SUMPRODUCT((dataset!$C$2:$C$807=$A66)*dataset!$I$2:$I$807)/SUMPRODUCT((dataset!$C$2:$C$807=$A66)*(dataset!$I$2:$I$807&lt;&gt;"")),"")</f>
        <v/>
      </c>
      <c r="G66" s="3">
        <f>IFERROR(SUMPRODUCT((dataset!$C$2:$C$807=$A66)*dataset!$J$2:$J$807)/SUMPRODUCT((dataset!$C$2:$C$807=$A66)*(dataset!$J$2:$J$807&lt;&gt;"")),"")</f>
        <v/>
      </c>
    </row>
    <row r="67">
      <c r="A67" s="2" t="inlineStr">
        <is>
          <t>Phil Ohman</t>
        </is>
      </c>
      <c r="B67" s="2">
        <f>SUMPRODUCT(--(dataset!$C$2:$C$807=$A67))</f>
        <v/>
      </c>
      <c r="C67" s="3">
        <f>SUMPRODUCT((dataset!$C$2:$C$807=$A67)*dataset!$B$2:$B$807)/B67</f>
        <v/>
      </c>
      <c r="D67" s="2">
        <f>_xlfn.MINIFS(dataset!$B$2:$B$807,dataset!$C$2:$C$807,$A67)</f>
        <v/>
      </c>
      <c r="E67" s="2">
        <f>_xlfn.MAXIFS(dataset!$B$2:$B$807,dataset!$C$2:$C$807,$A67)</f>
        <v/>
      </c>
      <c r="F67" s="3">
        <f>IFERROR(SUMPRODUCT((dataset!$C$2:$C$807=$A67)*dataset!$I$2:$I$807)/SUMPRODUCT((dataset!$C$2:$C$807=$A67)*(dataset!$I$2:$I$807&lt;&gt;"")),"")</f>
        <v/>
      </c>
      <c r="G67" s="3">
        <f>IFERROR(SUMPRODUCT((dataset!$C$2:$C$807=$A67)*dataset!$J$2:$J$807)/SUMPRODUCT((dataset!$C$2:$C$807=$A67)*(dataset!$J$2:$J$807&lt;&gt;"")),"")</f>
        <v/>
      </c>
    </row>
    <row r="68">
      <c r="A68" s="2" t="inlineStr">
        <is>
          <t>Scott Joplin &amp; Scott Hayden</t>
        </is>
      </c>
      <c r="B68" s="2">
        <f>SUMPRODUCT(--(dataset!$C$2:$C$807=$A68))</f>
        <v/>
      </c>
      <c r="C68" s="3">
        <f>SUMPRODUCT((dataset!$C$2:$C$807=$A68)*dataset!$B$2:$B$807)/B68</f>
        <v/>
      </c>
      <c r="D68" s="2">
        <f>_xlfn.MINIFS(dataset!$B$2:$B$807,dataset!$C$2:$C$807,$A68)</f>
        <v/>
      </c>
      <c r="E68" s="2">
        <f>_xlfn.MAXIFS(dataset!$B$2:$B$807,dataset!$C$2:$C$807,$A68)</f>
        <v/>
      </c>
      <c r="F68" s="3">
        <f>IFERROR(SUMPRODUCT((dataset!$C$2:$C$807=$A68)*dataset!$I$2:$I$807)/SUMPRODUCT((dataset!$C$2:$C$807=$A68)*(dataset!$I$2:$I$807&lt;&gt;"")),"")</f>
        <v/>
      </c>
      <c r="G68" s="3">
        <f>IFERROR(SUMPRODUCT((dataset!$C$2:$C$807=$A68)*dataset!$J$2:$J$807)/SUMPRODUCT((dataset!$C$2:$C$807=$A68)*(dataset!$J$2:$J$807&lt;&gt;"")),"")</f>
        <v/>
      </c>
    </row>
    <row r="69">
      <c r="A69" s="2" t="inlineStr">
        <is>
          <t>Takeru Kanazaki</t>
        </is>
      </c>
      <c r="B69" s="2">
        <f>SUMPRODUCT(--(dataset!$C$2:$C$807=$A69))</f>
        <v/>
      </c>
      <c r="C69" s="3">
        <f>SUMPRODUCT((dataset!$C$2:$C$807=$A69)*dataset!$B$2:$B$807)/B69</f>
        <v/>
      </c>
      <c r="D69" s="2">
        <f>_xlfn.MINIFS(dataset!$B$2:$B$807,dataset!$C$2:$C$807,$A69)</f>
        <v/>
      </c>
      <c r="E69" s="2">
        <f>_xlfn.MAXIFS(dataset!$B$2:$B$807,dataset!$C$2:$C$807,$A69)</f>
        <v/>
      </c>
      <c r="F69" s="3">
        <f>IFERROR(SUMPRODUCT((dataset!$C$2:$C$807=$A69)*dataset!$I$2:$I$807)/SUMPRODUCT((dataset!$C$2:$C$807=$A69)*(dataset!$I$2:$I$807&lt;&gt;"")),"")</f>
        <v/>
      </c>
      <c r="G69" s="3">
        <f>IFERROR(SUMPRODUCT((dataset!$C$2:$C$807=$A69)*dataset!$J$2:$J$807)/SUMPRODUCT((dataset!$C$2:$C$807=$A69)*(dataset!$J$2:$J$807&lt;&gt;"")),"")</f>
        <v/>
      </c>
    </row>
    <row r="70">
      <c r="A70" s="2" t="inlineStr">
        <is>
          <t>Victor Stroganov</t>
        </is>
      </c>
      <c r="B70" s="2">
        <f>SUMPRODUCT(--(dataset!$C$2:$C$807=$A70))</f>
        <v/>
      </c>
      <c r="C70" s="3">
        <f>SUMPRODUCT((dataset!$C$2:$C$807=$A70)*dataset!$B$2:$B$807)/B70</f>
        <v/>
      </c>
      <c r="D70" s="2">
        <f>_xlfn.MINIFS(dataset!$B$2:$B$807,dataset!$C$2:$C$807,$A70)</f>
        <v/>
      </c>
      <c r="E70" s="2">
        <f>_xlfn.MAXIFS(dataset!$B$2:$B$807,dataset!$C$2:$C$807,$A70)</f>
        <v/>
      </c>
      <c r="F70" s="3">
        <f>IFERROR(SUMPRODUCT((dataset!$C$2:$C$807=$A70)*dataset!$I$2:$I$807)/SUMPRODUCT((dataset!$C$2:$C$807=$A70)*(dataset!$I$2:$I$807&lt;&gt;"")),"")</f>
        <v/>
      </c>
      <c r="G70" s="3">
        <f>IFERROR(SUMPRODUCT((dataset!$C$2:$C$807=$A70)*dataset!$J$2:$J$807)/SUMPRODUCT((dataset!$C$2:$C$807=$A70)*(dataset!$J$2:$J$807&lt;&gt;"")),"")</f>
        <v/>
      </c>
    </row>
    <row r="71">
      <c r="A71" s="2" t="inlineStr">
        <is>
          <t>Viktor Kosenko</t>
        </is>
      </c>
      <c r="B71" s="2">
        <f>SUMPRODUCT(--(dataset!$C$2:$C$807=$A71))</f>
        <v/>
      </c>
      <c r="C71" s="3">
        <f>SUMPRODUCT((dataset!$C$2:$C$807=$A71)*dataset!$B$2:$B$807)/B71</f>
        <v/>
      </c>
      <c r="D71" s="2">
        <f>_xlfn.MINIFS(dataset!$B$2:$B$807,dataset!$C$2:$C$807,$A71)</f>
        <v/>
      </c>
      <c r="E71" s="2">
        <f>_xlfn.MAXIFS(dataset!$B$2:$B$807,dataset!$C$2:$C$807,$A71)</f>
        <v/>
      </c>
      <c r="F71" s="3">
        <f>IFERROR(SUMPRODUCT((dataset!$C$2:$C$807=$A71)*dataset!$I$2:$I$807)/SUMPRODUCT((dataset!$C$2:$C$807=$A71)*(dataset!$I$2:$I$807&lt;&gt;"")),"")</f>
        <v/>
      </c>
      <c r="G71" s="3">
        <f>IFERROR(SUMPRODUCT((dataset!$C$2:$C$807=$A71)*dataset!$J$2:$J$807)/SUMPRODUCT((dataset!$C$2:$C$807=$A71)*(dataset!$J$2:$J$807&lt;&gt;"")),"")</f>
        <v/>
      </c>
    </row>
    <row r="72">
      <c r="A72" s="2" t="inlineStr">
        <is>
          <t>W. H. Krell</t>
        </is>
      </c>
      <c r="B72" s="2">
        <f>SUMPRODUCT(--(dataset!$C$2:$C$807=$A72))</f>
        <v/>
      </c>
      <c r="C72" s="3">
        <f>SUMPRODUCT((dataset!$C$2:$C$807=$A72)*dataset!$B$2:$B$807)/B72</f>
        <v/>
      </c>
      <c r="D72" s="2">
        <f>_xlfn.MINIFS(dataset!$B$2:$B$807,dataset!$C$2:$C$807,$A72)</f>
        <v/>
      </c>
      <c r="E72" s="2">
        <f>_xlfn.MAXIFS(dataset!$B$2:$B$807,dataset!$C$2:$C$807,$A72)</f>
        <v/>
      </c>
      <c r="F72" s="3">
        <f>IFERROR(SUMPRODUCT((dataset!$C$2:$C$807=$A72)*dataset!$I$2:$I$807)/SUMPRODUCT((dataset!$C$2:$C$807=$A72)*(dataset!$I$2:$I$807&lt;&gt;"")),"")</f>
        <v/>
      </c>
      <c r="G72" s="3">
        <f>IFERROR(SUMPRODUCT((dataset!$C$2:$C$807=$A72)*dataset!$J$2:$J$807)/SUMPRODUCT((dataset!$C$2:$C$807=$A72)*(dataset!$J$2:$J$807&lt;&gt;"")),"")</f>
        <v/>
      </c>
    </row>
    <row r="73">
      <c r="A73" s="2" t="inlineStr">
        <is>
          <t>Wim Mertens</t>
        </is>
      </c>
      <c r="B73" s="2">
        <f>SUMPRODUCT(--(dataset!$C$2:$C$807=$A73))</f>
        <v/>
      </c>
      <c r="C73" s="3">
        <f>SUMPRODUCT((dataset!$C$2:$C$807=$A73)*dataset!$B$2:$B$807)/B73</f>
        <v/>
      </c>
      <c r="D73" s="2">
        <f>_xlfn.MINIFS(dataset!$B$2:$B$807,dataset!$C$2:$C$807,$A73)</f>
        <v/>
      </c>
      <c r="E73" s="2">
        <f>_xlfn.MAXIFS(dataset!$B$2:$B$807,dataset!$C$2:$C$807,$A73)</f>
        <v/>
      </c>
      <c r="F73" s="3">
        <f>IFERROR(SUMPRODUCT((dataset!$C$2:$C$807=$A73)*dataset!$I$2:$I$807)/SUMPRODUCT((dataset!$C$2:$C$807=$A73)*(dataset!$I$2:$I$807&lt;&gt;"")),"")</f>
        <v/>
      </c>
      <c r="G73" s="3">
        <f>IFERROR(SUMPRODUCT((dataset!$C$2:$C$807=$A73)*dataset!$J$2:$J$807)/SUMPRODUCT((dataset!$C$2:$C$807=$A73)*(dataset!$J$2:$J$807&lt;&gt;"")),"")</f>
        <v/>
      </c>
    </row>
    <row r="74">
      <c r="A74" s="2" t="inlineStr">
        <is>
          <t>Yoko Shimomura</t>
        </is>
      </c>
      <c r="B74" s="2">
        <f>SUMPRODUCT(--(dataset!$C$2:$C$807=$A74))</f>
        <v/>
      </c>
      <c r="C74" s="3">
        <f>SUMPRODUCT((dataset!$C$2:$C$807=$A74)*dataset!$B$2:$B$807)/B74</f>
        <v/>
      </c>
      <c r="D74" s="2">
        <f>_xlfn.MINIFS(dataset!$B$2:$B$807,dataset!$C$2:$C$807,$A74)</f>
        <v/>
      </c>
      <c r="E74" s="2">
        <f>_xlfn.MAXIFS(dataset!$B$2:$B$807,dataset!$C$2:$C$807,$A74)</f>
        <v/>
      </c>
      <c r="F74" s="3">
        <f>IFERROR(SUMPRODUCT((dataset!$C$2:$C$807=$A74)*dataset!$I$2:$I$807)/SUMPRODUCT((dataset!$C$2:$C$807=$A74)*(dataset!$I$2:$I$807&lt;&gt;"")),"")</f>
        <v/>
      </c>
      <c r="G74" s="3">
        <f>IFERROR(SUMPRODUCT((dataset!$C$2:$C$807=$A74)*dataset!$J$2:$J$807)/SUMPRODUCT((dataset!$C$2:$C$807=$A74)*(dataset!$J$2:$J$807&lt;&gt;"")),"")</f>
        <v/>
      </c>
    </row>
    <row r="75">
      <c r="A75" s="2" t="inlineStr">
        <is>
          <t>Yugo Kanno</t>
        </is>
      </c>
      <c r="B75" s="2">
        <f>SUMPRODUCT(--(dataset!$C$2:$C$807=$A75))</f>
        <v/>
      </c>
      <c r="C75" s="3">
        <f>SUMPRODUCT((dataset!$C$2:$C$807=$A75)*dataset!$B$2:$B$807)/B75</f>
        <v/>
      </c>
      <c r="D75" s="2">
        <f>_xlfn.MINIFS(dataset!$B$2:$B$807,dataset!$C$2:$C$807,$A75)</f>
        <v/>
      </c>
      <c r="E75" s="2">
        <f>_xlfn.MAXIFS(dataset!$B$2:$B$807,dataset!$C$2:$C$807,$A75)</f>
        <v/>
      </c>
      <c r="F75" s="3">
        <f>IFERROR(SUMPRODUCT((dataset!$C$2:$C$807=$A75)*dataset!$I$2:$I$807)/SUMPRODUCT((dataset!$C$2:$C$807=$A75)*(dataset!$I$2:$I$807&lt;&gt;"")),"")</f>
        <v/>
      </c>
      <c r="G75" s="3">
        <f>IFERROR(SUMPRODUCT((dataset!$C$2:$C$807=$A75)*dataset!$J$2:$J$807)/SUMPRODUCT((dataset!$C$2:$C$807=$A75)*(dataset!$J$2:$J$807&lt;&gt;"")),"")</f>
        <v/>
      </c>
    </row>
    <row r="76">
      <c r="A76" s="2" t="inlineStr">
        <is>
          <t>Zellah Edith</t>
        </is>
      </c>
      <c r="B76" s="2">
        <f>SUMPRODUCT(--(dataset!$C$2:$C$807=$A76))</f>
        <v/>
      </c>
      <c r="C76" s="3">
        <f>SUMPRODUCT((dataset!$C$2:$C$807=$A76)*dataset!$B$2:$B$807)/B76</f>
        <v/>
      </c>
      <c r="D76" s="2">
        <f>_xlfn.MINIFS(dataset!$B$2:$B$807,dataset!$C$2:$C$807,$A76)</f>
        <v/>
      </c>
      <c r="E76" s="2">
        <f>_xlfn.MAXIFS(dataset!$B$2:$B$807,dataset!$C$2:$C$807,$A76)</f>
        <v/>
      </c>
      <c r="F76" s="3">
        <f>IFERROR(SUMPRODUCT((dataset!$C$2:$C$807=$A76)*dataset!$I$2:$I$807)/SUMPRODUCT((dataset!$C$2:$C$807=$A76)*(dataset!$I$2:$I$807&lt;&gt;"")),"")</f>
        <v/>
      </c>
      <c r="G76" s="3">
        <f>IFERROR(SUMPRODUCT((dataset!$C$2:$C$807=$A76)*dataset!$J$2:$J$807)/SUMPRODUCT((dataset!$C$2:$C$807=$A76)*(dataset!$J$2:$J$807&lt;&gt;"")),"")</f>
        <v/>
      </c>
    </row>
    <row r="77">
      <c r="A77" s="2" t="inlineStr">
        <is>
          <t>Zez Confrey</t>
        </is>
      </c>
      <c r="B77" s="2">
        <f>SUMPRODUCT(--(dataset!$C$2:$C$807=$A77))</f>
        <v/>
      </c>
      <c r="C77" s="3">
        <f>SUMPRODUCT((dataset!$C$2:$C$807=$A77)*dataset!$B$2:$B$807)/B77</f>
        <v/>
      </c>
      <c r="D77" s="2">
        <f>_xlfn.MINIFS(dataset!$B$2:$B$807,dataset!$C$2:$C$807,$A77)</f>
        <v/>
      </c>
      <c r="E77" s="2">
        <f>_xlfn.MAXIFS(dataset!$B$2:$B$807,dataset!$C$2:$C$807,$A77)</f>
        <v/>
      </c>
      <c r="F77" s="3">
        <f>IFERROR(SUMPRODUCT((dataset!$C$2:$C$807=$A77)*dataset!$I$2:$I$807)/SUMPRODUCT((dataset!$C$2:$C$807=$A77)*(dataset!$I$2:$I$807&lt;&gt;"")),"")</f>
        <v/>
      </c>
      <c r="G77" s="3">
        <f>IFERROR(SUMPRODUCT((dataset!$C$2:$C$807=$A77)*dataset!$J$2:$J$807)/SUMPRODUCT((dataset!$C$2:$C$807=$A77)*(dataset!$J$2:$J$807&lt;&gt;"")),"")</f>
        <v/>
      </c>
    </row>
    <row r="78">
      <c r="A78" s="2" t="inlineStr">
        <is>
          <t>A. H. Pease</t>
        </is>
      </c>
      <c r="B78" s="2">
        <f>SUMPRODUCT(--(dataset!$C$2:$C$807=$A78))</f>
        <v/>
      </c>
      <c r="C78" s="3">
        <f>SUMPRODUCT((dataset!$C$2:$C$807=$A78)*dataset!$B$2:$B$807)/B78</f>
        <v/>
      </c>
      <c r="D78" s="2">
        <f>_xlfn.MINIFS(dataset!$B$2:$B$807,dataset!$C$2:$C$807,$A78)</f>
        <v/>
      </c>
      <c r="E78" s="2">
        <f>_xlfn.MAXIFS(dataset!$B$2:$B$807,dataset!$C$2:$C$807,$A78)</f>
        <v/>
      </c>
      <c r="F78" s="3">
        <f>IFERROR(SUMPRODUCT((dataset!$C$2:$C$807=$A78)*dataset!$I$2:$I$807)/SUMPRODUCT((dataset!$C$2:$C$807=$A78)*(dataset!$I$2:$I$807&lt;&gt;"")),"")</f>
        <v/>
      </c>
      <c r="G78" s="3">
        <f>IFERROR(SUMPRODUCT((dataset!$C$2:$C$807=$A78)*dataset!$J$2:$J$807)/SUMPRODUCT((dataset!$C$2:$C$807=$A78)*(dataset!$J$2:$J$807&lt;&gt;"")),"")</f>
        <v/>
      </c>
    </row>
    <row r="79">
      <c r="A79" s="2" t="inlineStr">
        <is>
          <t>A. Miscioscia</t>
        </is>
      </c>
      <c r="B79" s="2">
        <f>SUMPRODUCT(--(dataset!$C$2:$C$807=$A79))</f>
        <v/>
      </c>
      <c r="C79" s="3">
        <f>SUMPRODUCT((dataset!$C$2:$C$807=$A79)*dataset!$B$2:$B$807)/B79</f>
        <v/>
      </c>
      <c r="D79" s="2">
        <f>_xlfn.MINIFS(dataset!$B$2:$B$807,dataset!$C$2:$C$807,$A79)</f>
        <v/>
      </c>
      <c r="E79" s="2">
        <f>_xlfn.MAXIFS(dataset!$B$2:$B$807,dataset!$C$2:$C$807,$A79)</f>
        <v/>
      </c>
      <c r="F79" s="3">
        <f>IFERROR(SUMPRODUCT((dataset!$C$2:$C$807=$A79)*dataset!$I$2:$I$807)/SUMPRODUCT((dataset!$C$2:$C$807=$A79)*(dataset!$I$2:$I$807&lt;&gt;"")),"")</f>
        <v/>
      </c>
      <c r="G79" s="3">
        <f>IFERROR(SUMPRODUCT((dataset!$C$2:$C$807=$A79)*dataset!$J$2:$J$807)/SUMPRODUCT((dataset!$C$2:$C$807=$A79)*(dataset!$J$2:$J$807&lt;&gt;"")),"")</f>
        <v/>
      </c>
    </row>
    <row r="80">
      <c r="A80" s="2" t="inlineStr">
        <is>
          <t>A. Parisi</t>
        </is>
      </c>
      <c r="B80" s="2">
        <f>SUMPRODUCT(--(dataset!$C$2:$C$807=$A80))</f>
        <v/>
      </c>
      <c r="C80" s="3">
        <f>SUMPRODUCT((dataset!$C$2:$C$807=$A80)*dataset!$B$2:$B$807)/B80</f>
        <v/>
      </c>
      <c r="D80" s="2">
        <f>_xlfn.MINIFS(dataset!$B$2:$B$807,dataset!$C$2:$C$807,$A80)</f>
        <v/>
      </c>
      <c r="E80" s="2">
        <f>_xlfn.MAXIFS(dataset!$B$2:$B$807,dataset!$C$2:$C$807,$A80)</f>
        <v/>
      </c>
      <c r="F80" s="3">
        <f>IFERROR(SUMPRODUCT((dataset!$C$2:$C$807=$A80)*dataset!$I$2:$I$807)/SUMPRODUCT((dataset!$C$2:$C$807=$A80)*(dataset!$I$2:$I$807&lt;&gt;"")),"")</f>
        <v/>
      </c>
      <c r="G80" s="3">
        <f>IFERROR(SUMPRODUCT((dataset!$C$2:$C$807=$A80)*dataset!$J$2:$J$807)/SUMPRODUCT((dataset!$C$2:$C$807=$A80)*(dataset!$J$2:$J$807&lt;&gt;"")),"")</f>
        <v/>
      </c>
    </row>
    <row r="81">
      <c r="A81" s="2" t="inlineStr">
        <is>
          <t>A. Pieczonka</t>
        </is>
      </c>
      <c r="B81" s="2">
        <f>SUMPRODUCT(--(dataset!$C$2:$C$807=$A81))</f>
        <v/>
      </c>
      <c r="C81" s="3">
        <f>SUMPRODUCT((dataset!$C$2:$C$807=$A81)*dataset!$B$2:$B$807)/B81</f>
        <v/>
      </c>
      <c r="D81" s="2">
        <f>_xlfn.MINIFS(dataset!$B$2:$B$807,dataset!$C$2:$C$807,$A81)</f>
        <v/>
      </c>
      <c r="E81" s="2">
        <f>_xlfn.MAXIFS(dataset!$B$2:$B$807,dataset!$C$2:$C$807,$A81)</f>
        <v/>
      </c>
      <c r="F81" s="3">
        <f>IFERROR(SUMPRODUCT((dataset!$C$2:$C$807=$A81)*dataset!$I$2:$I$807)/SUMPRODUCT((dataset!$C$2:$C$807=$A81)*(dataset!$I$2:$I$807&lt;&gt;"")),"")</f>
        <v/>
      </c>
      <c r="G81" s="3">
        <f>IFERROR(SUMPRODUCT((dataset!$C$2:$C$807=$A81)*dataset!$J$2:$J$807)/SUMPRODUCT((dataset!$C$2:$C$807=$A81)*(dataset!$J$2:$J$807&lt;&gt;"")),"")</f>
        <v/>
      </c>
    </row>
    <row r="82">
      <c r="A82" s="2" t="inlineStr">
        <is>
          <t>A.R. Härle</t>
        </is>
      </c>
      <c r="B82" s="2">
        <f>SUMPRODUCT(--(dataset!$C$2:$C$807=$A82))</f>
        <v/>
      </c>
      <c r="C82" s="3">
        <f>SUMPRODUCT((dataset!$C$2:$C$807=$A82)*dataset!$B$2:$B$807)/B82</f>
        <v/>
      </c>
      <c r="D82" s="2">
        <f>_xlfn.MINIFS(dataset!$B$2:$B$807,dataset!$C$2:$C$807,$A82)</f>
        <v/>
      </c>
      <c r="E82" s="2">
        <f>_xlfn.MAXIFS(dataset!$B$2:$B$807,dataset!$C$2:$C$807,$A82)</f>
        <v/>
      </c>
      <c r="F82" s="3">
        <f>IFERROR(SUMPRODUCT((dataset!$C$2:$C$807=$A82)*dataset!$I$2:$I$807)/SUMPRODUCT((dataset!$C$2:$C$807=$A82)*(dataset!$I$2:$I$807&lt;&gt;"")),"")</f>
        <v/>
      </c>
      <c r="G82" s="3">
        <f>IFERROR(SUMPRODUCT((dataset!$C$2:$C$807=$A82)*dataset!$J$2:$J$807)/SUMPRODUCT((dataset!$C$2:$C$807=$A82)*(dataset!$J$2:$J$807&lt;&gt;"")),"")</f>
        <v/>
      </c>
    </row>
    <row r="83">
      <c r="A83" s="2" t="inlineStr">
        <is>
          <t>Adaline Shepherd</t>
        </is>
      </c>
      <c r="B83" s="2">
        <f>SUMPRODUCT(--(dataset!$C$2:$C$807=$A83))</f>
        <v/>
      </c>
      <c r="C83" s="3">
        <f>SUMPRODUCT((dataset!$C$2:$C$807=$A83)*dataset!$B$2:$B$807)/B83</f>
        <v/>
      </c>
      <c r="D83" s="2">
        <f>_xlfn.MINIFS(dataset!$B$2:$B$807,dataset!$C$2:$C$807,$A83)</f>
        <v/>
      </c>
      <c r="E83" s="2">
        <f>_xlfn.MAXIFS(dataset!$B$2:$B$807,dataset!$C$2:$C$807,$A83)</f>
        <v/>
      </c>
      <c r="F83" s="3">
        <f>IFERROR(SUMPRODUCT((dataset!$C$2:$C$807=$A83)*dataset!$I$2:$I$807)/SUMPRODUCT((dataset!$C$2:$C$807=$A83)*(dataset!$I$2:$I$807&lt;&gt;"")),"")</f>
        <v/>
      </c>
      <c r="G83" s="3">
        <f>IFERROR(SUMPRODUCT((dataset!$C$2:$C$807=$A83)*dataset!$J$2:$J$807)/SUMPRODUCT((dataset!$C$2:$C$807=$A83)*(dataset!$J$2:$J$807&lt;&gt;"")),"")</f>
        <v/>
      </c>
    </row>
    <row r="84">
      <c r="A84" s="2" t="inlineStr">
        <is>
          <t>Adele</t>
        </is>
      </c>
      <c r="B84" s="2">
        <f>SUMPRODUCT(--(dataset!$C$2:$C$807=$A84))</f>
        <v/>
      </c>
      <c r="C84" s="3">
        <f>SUMPRODUCT((dataset!$C$2:$C$807=$A84)*dataset!$B$2:$B$807)/B84</f>
        <v/>
      </c>
      <c r="D84" s="2">
        <f>_xlfn.MINIFS(dataset!$B$2:$B$807,dataset!$C$2:$C$807,$A84)</f>
        <v/>
      </c>
      <c r="E84" s="2">
        <f>_xlfn.MAXIFS(dataset!$B$2:$B$807,dataset!$C$2:$C$807,$A84)</f>
        <v/>
      </c>
      <c r="F84" s="3">
        <f>IFERROR(SUMPRODUCT((dataset!$C$2:$C$807=$A84)*dataset!$I$2:$I$807)/SUMPRODUCT((dataset!$C$2:$C$807=$A84)*(dataset!$I$2:$I$807&lt;&gt;"")),"")</f>
        <v/>
      </c>
      <c r="G84" s="3">
        <f>IFERROR(SUMPRODUCT((dataset!$C$2:$C$807=$A84)*dataset!$J$2:$J$807)/SUMPRODUCT((dataset!$C$2:$C$807=$A84)*(dataset!$J$2:$J$807&lt;&gt;"")),"")</f>
        <v/>
      </c>
    </row>
    <row r="85">
      <c r="A85" s="2" t="inlineStr">
        <is>
          <t>Aiden James</t>
        </is>
      </c>
      <c r="B85" s="2">
        <f>SUMPRODUCT(--(dataset!$C$2:$C$807=$A85))</f>
        <v/>
      </c>
      <c r="C85" s="3">
        <f>SUMPRODUCT((dataset!$C$2:$C$807=$A85)*dataset!$B$2:$B$807)/B85</f>
        <v/>
      </c>
      <c r="D85" s="2">
        <f>_xlfn.MINIFS(dataset!$B$2:$B$807,dataset!$C$2:$C$807,$A85)</f>
        <v/>
      </c>
      <c r="E85" s="2">
        <f>_xlfn.MAXIFS(dataset!$B$2:$B$807,dataset!$C$2:$C$807,$A85)</f>
        <v/>
      </c>
      <c r="F85" s="3">
        <f>IFERROR(SUMPRODUCT((dataset!$C$2:$C$807=$A85)*dataset!$I$2:$I$807)/SUMPRODUCT((dataset!$C$2:$C$807=$A85)*(dataset!$I$2:$I$807&lt;&gt;"")),"")</f>
        <v/>
      </c>
      <c r="G85" s="3">
        <f>IFERROR(SUMPRODUCT((dataset!$C$2:$C$807=$A85)*dataset!$J$2:$J$807)/SUMPRODUCT((dataset!$C$2:$C$807=$A85)*(dataset!$J$2:$J$807&lt;&gt;"")),"")</f>
        <v/>
      </c>
    </row>
    <row r="86">
      <c r="A86" s="2" t="inlineStr">
        <is>
          <t>Alan Menken</t>
        </is>
      </c>
      <c r="B86" s="2">
        <f>SUMPRODUCT(--(dataset!$C$2:$C$807=$A86))</f>
        <v/>
      </c>
      <c r="C86" s="3">
        <f>SUMPRODUCT((dataset!$C$2:$C$807=$A86)*dataset!$B$2:$B$807)/B86</f>
        <v/>
      </c>
      <c r="D86" s="2">
        <f>_xlfn.MINIFS(dataset!$B$2:$B$807,dataset!$C$2:$C$807,$A86)</f>
        <v/>
      </c>
      <c r="E86" s="2">
        <f>_xlfn.MAXIFS(dataset!$B$2:$B$807,dataset!$C$2:$C$807,$A86)</f>
        <v/>
      </c>
      <c r="F86" s="3">
        <f>IFERROR(SUMPRODUCT((dataset!$C$2:$C$807=$A86)*dataset!$I$2:$I$807)/SUMPRODUCT((dataset!$C$2:$C$807=$A86)*(dataset!$I$2:$I$807&lt;&gt;"")),"")</f>
        <v/>
      </c>
      <c r="G86" s="3">
        <f>IFERROR(SUMPRODUCT((dataset!$C$2:$C$807=$A86)*dataset!$J$2:$J$807)/SUMPRODUCT((dataset!$C$2:$C$807=$A86)*(dataset!$J$2:$J$807&lt;&gt;"")),"")</f>
        <v/>
      </c>
    </row>
    <row r="87">
      <c r="A87" s="2" t="inlineStr">
        <is>
          <t>Alan Parker</t>
        </is>
      </c>
      <c r="B87" s="2">
        <f>SUMPRODUCT(--(dataset!$C$2:$C$807=$A87))</f>
        <v/>
      </c>
      <c r="C87" s="3">
        <f>SUMPRODUCT((dataset!$C$2:$C$807=$A87)*dataset!$B$2:$B$807)/B87</f>
        <v/>
      </c>
      <c r="D87" s="2">
        <f>_xlfn.MINIFS(dataset!$B$2:$B$807,dataset!$C$2:$C$807,$A87)</f>
        <v/>
      </c>
      <c r="E87" s="2">
        <f>_xlfn.MAXIFS(dataset!$B$2:$B$807,dataset!$C$2:$C$807,$A87)</f>
        <v/>
      </c>
      <c r="F87" s="3">
        <f>IFERROR(SUMPRODUCT((dataset!$C$2:$C$807=$A87)*dataset!$I$2:$I$807)/SUMPRODUCT((dataset!$C$2:$C$807=$A87)*(dataset!$I$2:$I$807&lt;&gt;"")),"")</f>
        <v/>
      </c>
      <c r="G87" s="3">
        <f>IFERROR(SUMPRODUCT((dataset!$C$2:$C$807=$A87)*dataset!$J$2:$J$807)/SUMPRODUCT((dataset!$C$2:$C$807=$A87)*(dataset!$J$2:$J$807&lt;&gt;"")),"")</f>
        <v/>
      </c>
    </row>
    <row r="88">
      <c r="A88" s="2" t="inlineStr">
        <is>
          <t>Alan Silvestri</t>
        </is>
      </c>
      <c r="B88" s="2">
        <f>SUMPRODUCT(--(dataset!$C$2:$C$807=$A88))</f>
        <v/>
      </c>
      <c r="C88" s="3">
        <f>SUMPRODUCT((dataset!$C$2:$C$807=$A88)*dataset!$B$2:$B$807)/B88</f>
        <v/>
      </c>
      <c r="D88" s="2">
        <f>_xlfn.MINIFS(dataset!$B$2:$B$807,dataset!$C$2:$C$807,$A88)</f>
        <v/>
      </c>
      <c r="E88" s="2">
        <f>_xlfn.MAXIFS(dataset!$B$2:$B$807,dataset!$C$2:$C$807,$A88)</f>
        <v/>
      </c>
      <c r="F88" s="3">
        <f>IFERROR(SUMPRODUCT((dataset!$C$2:$C$807=$A88)*dataset!$I$2:$I$807)/SUMPRODUCT((dataset!$C$2:$C$807=$A88)*(dataset!$I$2:$I$807&lt;&gt;"")),"")</f>
        <v/>
      </c>
      <c r="G88" s="3">
        <f>IFERROR(SUMPRODUCT((dataset!$C$2:$C$807=$A88)*dataset!$J$2:$J$807)/SUMPRODUCT((dataset!$C$2:$C$807=$A88)*(dataset!$J$2:$J$807&lt;&gt;"")),"")</f>
        <v/>
      </c>
    </row>
    <row r="89">
      <c r="A89" s="2" t="inlineStr">
        <is>
          <t>Albert W. Ketèlbey</t>
        </is>
      </c>
      <c r="B89" s="2">
        <f>SUMPRODUCT(--(dataset!$C$2:$C$807=$A89))</f>
        <v/>
      </c>
      <c r="C89" s="3">
        <f>SUMPRODUCT((dataset!$C$2:$C$807=$A89)*dataset!$B$2:$B$807)/B89</f>
        <v/>
      </c>
      <c r="D89" s="2">
        <f>_xlfn.MINIFS(dataset!$B$2:$B$807,dataset!$C$2:$C$807,$A89)</f>
        <v/>
      </c>
      <c r="E89" s="2">
        <f>_xlfn.MAXIFS(dataset!$B$2:$B$807,dataset!$C$2:$C$807,$A89)</f>
        <v/>
      </c>
      <c r="F89" s="3">
        <f>IFERROR(SUMPRODUCT((dataset!$C$2:$C$807=$A89)*dataset!$I$2:$I$807)/SUMPRODUCT((dataset!$C$2:$C$807=$A89)*(dataset!$I$2:$I$807&lt;&gt;"")),"")</f>
        <v/>
      </c>
      <c r="G89" s="3">
        <f>IFERROR(SUMPRODUCT((dataset!$C$2:$C$807=$A89)*dataset!$J$2:$J$807)/SUMPRODUCT((dataset!$C$2:$C$807=$A89)*(dataset!$J$2:$J$807&lt;&gt;"")),"")</f>
        <v/>
      </c>
    </row>
    <row r="90">
      <c r="A90" s="2" t="inlineStr">
        <is>
          <t>Alberto Kollman</t>
        </is>
      </c>
      <c r="B90" s="2">
        <f>SUMPRODUCT(--(dataset!$C$2:$C$807=$A90))</f>
        <v/>
      </c>
      <c r="C90" s="3">
        <f>SUMPRODUCT((dataset!$C$2:$C$807=$A90)*dataset!$B$2:$B$807)/B90</f>
        <v/>
      </c>
      <c r="D90" s="2">
        <f>_xlfn.MINIFS(dataset!$B$2:$B$807,dataset!$C$2:$C$807,$A90)</f>
        <v/>
      </c>
      <c r="E90" s="2">
        <f>_xlfn.MAXIFS(dataset!$B$2:$B$807,dataset!$C$2:$C$807,$A90)</f>
        <v/>
      </c>
      <c r="F90" s="3">
        <f>IFERROR(SUMPRODUCT((dataset!$C$2:$C$807=$A90)*dataset!$I$2:$I$807)/SUMPRODUCT((dataset!$C$2:$C$807=$A90)*(dataset!$I$2:$I$807&lt;&gt;"")),"")</f>
        <v/>
      </c>
      <c r="G90" s="3">
        <f>IFERROR(SUMPRODUCT((dataset!$C$2:$C$807=$A90)*dataset!$J$2:$J$807)/SUMPRODUCT((dataset!$C$2:$C$807=$A90)*(dataset!$J$2:$J$807&lt;&gt;"")),"")</f>
        <v/>
      </c>
    </row>
    <row r="91">
      <c r="A91" s="2" t="inlineStr">
        <is>
          <t>Alex Turnip</t>
        </is>
      </c>
      <c r="B91" s="2">
        <f>SUMPRODUCT(--(dataset!$C$2:$C$807=$A91))</f>
        <v/>
      </c>
      <c r="C91" s="3">
        <f>SUMPRODUCT((dataset!$C$2:$C$807=$A91)*dataset!$B$2:$B$807)/B91</f>
        <v/>
      </c>
      <c r="D91" s="2">
        <f>_xlfn.MINIFS(dataset!$B$2:$B$807,dataset!$C$2:$C$807,$A91)</f>
        <v/>
      </c>
      <c r="E91" s="2">
        <f>_xlfn.MAXIFS(dataset!$B$2:$B$807,dataset!$C$2:$C$807,$A91)</f>
        <v/>
      </c>
      <c r="F91" s="3">
        <f>IFERROR(SUMPRODUCT((dataset!$C$2:$C$807=$A91)*dataset!$I$2:$I$807)/SUMPRODUCT((dataset!$C$2:$C$807=$A91)*(dataset!$I$2:$I$807&lt;&gt;"")),"")</f>
        <v/>
      </c>
      <c r="G91" s="3">
        <f>IFERROR(SUMPRODUCT((dataset!$C$2:$C$807=$A91)*dataset!$J$2:$J$807)/SUMPRODUCT((dataset!$C$2:$C$807=$A91)*(dataset!$J$2:$J$807&lt;&gt;"")),"")</f>
        <v/>
      </c>
    </row>
    <row r="92">
      <c r="A92" s="2" t="inlineStr">
        <is>
          <t>Alexander Borodin</t>
        </is>
      </c>
      <c r="B92" s="2">
        <f>SUMPRODUCT(--(dataset!$C$2:$C$807=$A92))</f>
        <v/>
      </c>
      <c r="C92" s="3">
        <f>SUMPRODUCT((dataset!$C$2:$C$807=$A92)*dataset!$B$2:$B$807)/B92</f>
        <v/>
      </c>
      <c r="D92" s="2">
        <f>_xlfn.MINIFS(dataset!$B$2:$B$807,dataset!$C$2:$C$807,$A92)</f>
        <v/>
      </c>
      <c r="E92" s="2">
        <f>_xlfn.MAXIFS(dataset!$B$2:$B$807,dataset!$C$2:$C$807,$A92)</f>
        <v/>
      </c>
      <c r="F92" s="3">
        <f>IFERROR(SUMPRODUCT((dataset!$C$2:$C$807=$A92)*dataset!$I$2:$I$807)/SUMPRODUCT((dataset!$C$2:$C$807=$A92)*(dataset!$I$2:$I$807&lt;&gt;"")),"")</f>
        <v/>
      </c>
      <c r="G92" s="3">
        <f>IFERROR(SUMPRODUCT((dataset!$C$2:$C$807=$A92)*dataset!$J$2:$J$807)/SUMPRODUCT((dataset!$C$2:$C$807=$A92)*(dataset!$J$2:$J$807&lt;&gt;"")),"")</f>
        <v/>
      </c>
    </row>
    <row r="93">
      <c r="A93" s="2" t="inlineStr">
        <is>
          <t>Alexander Goedicke</t>
        </is>
      </c>
      <c r="B93" s="2">
        <f>SUMPRODUCT(--(dataset!$C$2:$C$807=$A93))</f>
        <v/>
      </c>
      <c r="C93" s="3">
        <f>SUMPRODUCT((dataset!$C$2:$C$807=$A93)*dataset!$B$2:$B$807)/B93</f>
        <v/>
      </c>
      <c r="D93" s="2">
        <f>_xlfn.MINIFS(dataset!$B$2:$B$807,dataset!$C$2:$C$807,$A93)</f>
        <v/>
      </c>
      <c r="E93" s="2">
        <f>_xlfn.MAXIFS(dataset!$B$2:$B$807,dataset!$C$2:$C$807,$A93)</f>
        <v/>
      </c>
      <c r="F93" s="3">
        <f>IFERROR(SUMPRODUCT((dataset!$C$2:$C$807=$A93)*dataset!$I$2:$I$807)/SUMPRODUCT((dataset!$C$2:$C$807=$A93)*(dataset!$I$2:$I$807&lt;&gt;"")),"")</f>
        <v/>
      </c>
      <c r="G93" s="3">
        <f>IFERROR(SUMPRODUCT((dataset!$C$2:$C$807=$A93)*dataset!$J$2:$J$807)/SUMPRODUCT((dataset!$C$2:$C$807=$A93)*(dataset!$J$2:$J$807&lt;&gt;"")),"")</f>
        <v/>
      </c>
    </row>
    <row r="94">
      <c r="A94" s="2" t="inlineStr">
        <is>
          <t>Alexander Maloof</t>
        </is>
      </c>
      <c r="B94" s="2">
        <f>SUMPRODUCT(--(dataset!$C$2:$C$807=$A94))</f>
        <v/>
      </c>
      <c r="C94" s="3">
        <f>SUMPRODUCT((dataset!$C$2:$C$807=$A94)*dataset!$B$2:$B$807)/B94</f>
        <v/>
      </c>
      <c r="D94" s="2">
        <f>_xlfn.MINIFS(dataset!$B$2:$B$807,dataset!$C$2:$C$807,$A94)</f>
        <v/>
      </c>
      <c r="E94" s="2">
        <f>_xlfn.MAXIFS(dataset!$B$2:$B$807,dataset!$C$2:$C$807,$A94)</f>
        <v/>
      </c>
      <c r="F94" s="3">
        <f>IFERROR(SUMPRODUCT((dataset!$C$2:$C$807=$A94)*dataset!$I$2:$I$807)/SUMPRODUCT((dataset!$C$2:$C$807=$A94)*(dataset!$I$2:$I$807&lt;&gt;"")),"")</f>
        <v/>
      </c>
      <c r="G94" s="3">
        <f>IFERROR(SUMPRODUCT((dataset!$C$2:$C$807=$A94)*dataset!$J$2:$J$807)/SUMPRODUCT((dataset!$C$2:$C$807=$A94)*(dataset!$J$2:$J$807&lt;&gt;"")),"")</f>
        <v/>
      </c>
    </row>
    <row r="95">
      <c r="A95" s="2" t="inlineStr">
        <is>
          <t>Alexander Pahssen</t>
        </is>
      </c>
      <c r="B95" s="2">
        <f>SUMPRODUCT(--(dataset!$C$2:$C$807=$A95))</f>
        <v/>
      </c>
      <c r="C95" s="3">
        <f>SUMPRODUCT((dataset!$C$2:$C$807=$A95)*dataset!$B$2:$B$807)/B95</f>
        <v/>
      </c>
      <c r="D95" s="2">
        <f>_xlfn.MINIFS(dataset!$B$2:$B$807,dataset!$C$2:$C$807,$A95)</f>
        <v/>
      </c>
      <c r="E95" s="2">
        <f>_xlfn.MAXIFS(dataset!$B$2:$B$807,dataset!$C$2:$C$807,$A95)</f>
        <v/>
      </c>
      <c r="F95" s="3">
        <f>IFERROR(SUMPRODUCT((dataset!$C$2:$C$807=$A95)*dataset!$I$2:$I$807)/SUMPRODUCT((dataset!$C$2:$C$807=$A95)*(dataset!$I$2:$I$807&lt;&gt;"")),"")</f>
        <v/>
      </c>
      <c r="G95" s="3">
        <f>IFERROR(SUMPRODUCT((dataset!$C$2:$C$807=$A95)*dataset!$J$2:$J$807)/SUMPRODUCT((dataset!$C$2:$C$807=$A95)*(dataset!$J$2:$J$807&lt;&gt;"")),"")</f>
        <v/>
      </c>
    </row>
    <row r="96">
      <c r="A96" s="2" t="inlineStr">
        <is>
          <t>Alexander Schmitt</t>
        </is>
      </c>
      <c r="B96" s="2">
        <f>SUMPRODUCT(--(dataset!$C$2:$C$807=$A96))</f>
        <v/>
      </c>
      <c r="C96" s="3">
        <f>SUMPRODUCT((dataset!$C$2:$C$807=$A96)*dataset!$B$2:$B$807)/B96</f>
        <v/>
      </c>
      <c r="D96" s="2">
        <f>_xlfn.MINIFS(dataset!$B$2:$B$807,dataset!$C$2:$C$807,$A96)</f>
        <v/>
      </c>
      <c r="E96" s="2">
        <f>_xlfn.MAXIFS(dataset!$B$2:$B$807,dataset!$C$2:$C$807,$A96)</f>
        <v/>
      </c>
      <c r="F96" s="3">
        <f>IFERROR(SUMPRODUCT((dataset!$C$2:$C$807=$A96)*dataset!$I$2:$I$807)/SUMPRODUCT((dataset!$C$2:$C$807=$A96)*(dataset!$I$2:$I$807&lt;&gt;"")),"")</f>
        <v/>
      </c>
      <c r="G96" s="3">
        <f>IFERROR(SUMPRODUCT((dataset!$C$2:$C$807=$A96)*dataset!$J$2:$J$807)/SUMPRODUCT((dataset!$C$2:$C$807=$A96)*(dataset!$J$2:$J$807&lt;&gt;"")),"")</f>
        <v/>
      </c>
    </row>
    <row r="97">
      <c r="A97" s="2" t="inlineStr">
        <is>
          <t>Alexandre Desplat</t>
        </is>
      </c>
      <c r="B97" s="2">
        <f>SUMPRODUCT(--(dataset!$C$2:$C$807=$A97))</f>
        <v/>
      </c>
      <c r="C97" s="3">
        <f>SUMPRODUCT((dataset!$C$2:$C$807=$A97)*dataset!$B$2:$B$807)/B97</f>
        <v/>
      </c>
      <c r="D97" s="2">
        <f>_xlfn.MINIFS(dataset!$B$2:$B$807,dataset!$C$2:$C$807,$A97)</f>
        <v/>
      </c>
      <c r="E97" s="2">
        <f>_xlfn.MAXIFS(dataset!$B$2:$B$807,dataset!$C$2:$C$807,$A97)</f>
        <v/>
      </c>
      <c r="F97" s="3">
        <f>IFERROR(SUMPRODUCT((dataset!$C$2:$C$807=$A97)*dataset!$I$2:$I$807)/SUMPRODUCT((dataset!$C$2:$C$807=$A97)*(dataset!$I$2:$I$807&lt;&gt;"")),"")</f>
        <v/>
      </c>
      <c r="G97" s="3">
        <f>IFERROR(SUMPRODUCT((dataset!$C$2:$C$807=$A97)*dataset!$J$2:$J$807)/SUMPRODUCT((dataset!$C$2:$C$807=$A97)*(dataset!$J$2:$J$807&lt;&gt;"")),"")</f>
        <v/>
      </c>
    </row>
    <row r="98">
      <c r="A98" s="2" t="inlineStr">
        <is>
          <t>Amanda Brummett</t>
        </is>
      </c>
      <c r="B98" s="2">
        <f>SUMPRODUCT(--(dataset!$C$2:$C$807=$A98))</f>
        <v/>
      </c>
      <c r="C98" s="3">
        <f>SUMPRODUCT((dataset!$C$2:$C$807=$A98)*dataset!$B$2:$B$807)/B98</f>
        <v/>
      </c>
      <c r="D98" s="2">
        <f>_xlfn.MINIFS(dataset!$B$2:$B$807,dataset!$C$2:$C$807,$A98)</f>
        <v/>
      </c>
      <c r="E98" s="2">
        <f>_xlfn.MAXIFS(dataset!$B$2:$B$807,dataset!$C$2:$C$807,$A98)</f>
        <v/>
      </c>
      <c r="F98" s="3">
        <f>IFERROR(SUMPRODUCT((dataset!$C$2:$C$807=$A98)*dataset!$I$2:$I$807)/SUMPRODUCT((dataset!$C$2:$C$807=$A98)*(dataset!$I$2:$I$807&lt;&gt;"")),"")</f>
        <v/>
      </c>
      <c r="G98" s="3">
        <f>IFERROR(SUMPRODUCT((dataset!$C$2:$C$807=$A98)*dataset!$J$2:$J$807)/SUMPRODUCT((dataset!$C$2:$C$807=$A98)*(dataset!$J$2:$J$807&lt;&gt;"")),"")</f>
        <v/>
      </c>
    </row>
    <row r="99">
      <c r="A99" s="2" t="inlineStr">
        <is>
          <t>Andreas Illiger</t>
        </is>
      </c>
      <c r="B99" s="2">
        <f>SUMPRODUCT(--(dataset!$C$2:$C$807=$A99))</f>
        <v/>
      </c>
      <c r="C99" s="3">
        <f>SUMPRODUCT((dataset!$C$2:$C$807=$A99)*dataset!$B$2:$B$807)/B99</f>
        <v/>
      </c>
      <c r="D99" s="2">
        <f>_xlfn.MINIFS(dataset!$B$2:$B$807,dataset!$C$2:$C$807,$A99)</f>
        <v/>
      </c>
      <c r="E99" s="2">
        <f>_xlfn.MAXIFS(dataset!$B$2:$B$807,dataset!$C$2:$C$807,$A99)</f>
        <v/>
      </c>
      <c r="F99" s="3">
        <f>IFERROR(SUMPRODUCT((dataset!$C$2:$C$807=$A99)*dataset!$I$2:$I$807)/SUMPRODUCT((dataset!$C$2:$C$807=$A99)*(dataset!$I$2:$I$807&lt;&gt;"")),"")</f>
        <v/>
      </c>
      <c r="G99" s="3">
        <f>IFERROR(SUMPRODUCT((dataset!$C$2:$C$807=$A99)*dataset!$J$2:$J$807)/SUMPRODUCT((dataset!$C$2:$C$807=$A99)*(dataset!$J$2:$J$807&lt;&gt;"")),"")</f>
        <v/>
      </c>
    </row>
    <row r="100">
      <c r="A100" s="2" t="inlineStr">
        <is>
          <t>Andrew G. Webberley</t>
        </is>
      </c>
      <c r="B100" s="2">
        <f>SUMPRODUCT(--(dataset!$C$2:$C$807=$A100))</f>
        <v/>
      </c>
      <c r="C100" s="3">
        <f>SUMPRODUCT((dataset!$C$2:$C$807=$A100)*dataset!$B$2:$B$807)/B100</f>
        <v/>
      </c>
      <c r="D100" s="2">
        <f>_xlfn.MINIFS(dataset!$B$2:$B$807,dataset!$C$2:$C$807,$A100)</f>
        <v/>
      </c>
      <c r="E100" s="2">
        <f>_xlfn.MAXIFS(dataset!$B$2:$B$807,dataset!$C$2:$C$807,$A100)</f>
        <v/>
      </c>
      <c r="F100" s="3">
        <f>IFERROR(SUMPRODUCT((dataset!$C$2:$C$807=$A100)*dataset!$I$2:$I$807)/SUMPRODUCT((dataset!$C$2:$C$807=$A100)*(dataset!$I$2:$I$807&lt;&gt;"")),"")</f>
        <v/>
      </c>
      <c r="G100" s="3">
        <f>IFERROR(SUMPRODUCT((dataset!$C$2:$C$807=$A100)*dataset!$J$2:$J$807)/SUMPRODUCT((dataset!$C$2:$C$807=$A100)*(dataset!$J$2:$J$807&lt;&gt;"")),"")</f>
        <v/>
      </c>
    </row>
    <row r="101">
      <c r="A101" s="2" t="inlineStr">
        <is>
          <t>Anthony Karas</t>
        </is>
      </c>
      <c r="B101" s="2">
        <f>SUMPRODUCT(--(dataset!$C$2:$C$807=$A101))</f>
        <v/>
      </c>
      <c r="C101" s="3">
        <f>SUMPRODUCT((dataset!$C$2:$C$807=$A101)*dataset!$B$2:$B$807)/B101</f>
        <v/>
      </c>
      <c r="D101" s="2">
        <f>_xlfn.MINIFS(dataset!$B$2:$B$807,dataset!$C$2:$C$807,$A101)</f>
        <v/>
      </c>
      <c r="E101" s="2">
        <f>_xlfn.MAXIFS(dataset!$B$2:$B$807,dataset!$C$2:$C$807,$A101)</f>
        <v/>
      </c>
      <c r="F101" s="3">
        <f>IFERROR(SUMPRODUCT((dataset!$C$2:$C$807=$A101)*dataset!$I$2:$I$807)/SUMPRODUCT((dataset!$C$2:$C$807=$A101)*(dataset!$I$2:$I$807&lt;&gt;"")),"")</f>
        <v/>
      </c>
      <c r="G101" s="3">
        <f>IFERROR(SUMPRODUCT((dataset!$C$2:$C$807=$A101)*dataset!$J$2:$J$807)/SUMPRODUCT((dataset!$C$2:$C$807=$A101)*(dataset!$J$2:$J$807&lt;&gt;"")),"")</f>
        <v/>
      </c>
    </row>
    <row r="102">
      <c r="A102" s="2" t="inlineStr">
        <is>
          <t>Anthony Lama</t>
        </is>
      </c>
      <c r="B102" s="2">
        <f>SUMPRODUCT(--(dataset!$C$2:$C$807=$A102))</f>
        <v/>
      </c>
      <c r="C102" s="3">
        <f>SUMPRODUCT((dataset!$C$2:$C$807=$A102)*dataset!$B$2:$B$807)/B102</f>
        <v/>
      </c>
      <c r="D102" s="2">
        <f>_xlfn.MINIFS(dataset!$B$2:$B$807,dataset!$C$2:$C$807,$A102)</f>
        <v/>
      </c>
      <c r="E102" s="2">
        <f>_xlfn.MAXIFS(dataset!$B$2:$B$807,dataset!$C$2:$C$807,$A102)</f>
        <v/>
      </c>
      <c r="F102" s="3">
        <f>IFERROR(SUMPRODUCT((dataset!$C$2:$C$807=$A102)*dataset!$I$2:$I$807)/SUMPRODUCT((dataset!$C$2:$C$807=$A102)*(dataset!$I$2:$I$807&lt;&gt;"")),"")</f>
        <v/>
      </c>
      <c r="G102" s="3">
        <f>IFERROR(SUMPRODUCT((dataset!$C$2:$C$807=$A102)*dataset!$J$2:$J$807)/SUMPRODUCT((dataset!$C$2:$C$807=$A102)*(dataset!$J$2:$J$807&lt;&gt;"")),"")</f>
        <v/>
      </c>
    </row>
    <row r="103">
      <c r="A103" s="2" t="inlineStr">
        <is>
          <t>Anthony Swindall</t>
        </is>
      </c>
      <c r="B103" s="2">
        <f>SUMPRODUCT(--(dataset!$C$2:$C$807=$A103))</f>
        <v/>
      </c>
      <c r="C103" s="3">
        <f>SUMPRODUCT((dataset!$C$2:$C$807=$A103)*dataset!$B$2:$B$807)/B103</f>
        <v/>
      </c>
      <c r="D103" s="2">
        <f>_xlfn.MINIFS(dataset!$B$2:$B$807,dataset!$C$2:$C$807,$A103)</f>
        <v/>
      </c>
      <c r="E103" s="2">
        <f>_xlfn.MAXIFS(dataset!$B$2:$B$807,dataset!$C$2:$C$807,$A103)</f>
        <v/>
      </c>
      <c r="F103" s="3">
        <f>IFERROR(SUMPRODUCT((dataset!$C$2:$C$807=$A103)*dataset!$I$2:$I$807)/SUMPRODUCT((dataset!$C$2:$C$807=$A103)*(dataset!$I$2:$I$807&lt;&gt;"")),"")</f>
        <v/>
      </c>
      <c r="G103" s="3">
        <f>IFERROR(SUMPRODUCT((dataset!$C$2:$C$807=$A103)*dataset!$J$2:$J$807)/SUMPRODUCT((dataset!$C$2:$C$807=$A103)*(dataset!$J$2:$J$807&lt;&gt;"")),"")</f>
        <v/>
      </c>
    </row>
    <row r="104">
      <c r="A104" s="2" t="inlineStr">
        <is>
          <t>Antonio Cartafalsa</t>
        </is>
      </c>
      <c r="B104" s="2">
        <f>SUMPRODUCT(--(dataset!$C$2:$C$807=$A104))</f>
        <v/>
      </c>
      <c r="C104" s="3">
        <f>SUMPRODUCT((dataset!$C$2:$C$807=$A104)*dataset!$B$2:$B$807)/B104</f>
        <v/>
      </c>
      <c r="D104" s="2">
        <f>_xlfn.MINIFS(dataset!$B$2:$B$807,dataset!$C$2:$C$807,$A104)</f>
        <v/>
      </c>
      <c r="E104" s="2">
        <f>_xlfn.MAXIFS(dataset!$B$2:$B$807,dataset!$C$2:$C$807,$A104)</f>
        <v/>
      </c>
      <c r="F104" s="3">
        <f>IFERROR(SUMPRODUCT((dataset!$C$2:$C$807=$A104)*dataset!$I$2:$I$807)/SUMPRODUCT((dataset!$C$2:$C$807=$A104)*(dataset!$I$2:$I$807&lt;&gt;"")),"")</f>
        <v/>
      </c>
      <c r="G104" s="3">
        <f>IFERROR(SUMPRODUCT((dataset!$C$2:$C$807=$A104)*dataset!$J$2:$J$807)/SUMPRODUCT((dataset!$C$2:$C$807=$A104)*(dataset!$J$2:$J$807&lt;&gt;"")),"")</f>
        <v/>
      </c>
    </row>
    <row r="105">
      <c r="A105" s="2" t="inlineStr">
        <is>
          <t>Archie Ward Scheu</t>
        </is>
      </c>
      <c r="B105" s="2">
        <f>SUMPRODUCT(--(dataset!$C$2:$C$807=$A105))</f>
        <v/>
      </c>
      <c r="C105" s="3">
        <f>SUMPRODUCT((dataset!$C$2:$C$807=$A105)*dataset!$B$2:$B$807)/B105</f>
        <v/>
      </c>
      <c r="D105" s="2">
        <f>_xlfn.MINIFS(dataset!$B$2:$B$807,dataset!$C$2:$C$807,$A105)</f>
        <v/>
      </c>
      <c r="E105" s="2">
        <f>_xlfn.MAXIFS(dataset!$B$2:$B$807,dataset!$C$2:$C$807,$A105)</f>
        <v/>
      </c>
      <c r="F105" s="3">
        <f>IFERROR(SUMPRODUCT((dataset!$C$2:$C$807=$A105)*dataset!$I$2:$I$807)/SUMPRODUCT((dataset!$C$2:$C$807=$A105)*(dataset!$I$2:$I$807&lt;&gt;"")),"")</f>
        <v/>
      </c>
      <c r="G105" s="3">
        <f>IFERROR(SUMPRODUCT((dataset!$C$2:$C$807=$A105)*dataset!$J$2:$J$807)/SUMPRODUCT((dataset!$C$2:$C$807=$A105)*(dataset!$J$2:$J$807&lt;&gt;"")),"")</f>
        <v/>
      </c>
    </row>
    <row r="106">
      <c r="A106" s="2" t="inlineStr">
        <is>
          <t>Ari Pulkkinen</t>
        </is>
      </c>
      <c r="B106" s="2">
        <f>SUMPRODUCT(--(dataset!$C$2:$C$807=$A106))</f>
        <v/>
      </c>
      <c r="C106" s="3">
        <f>SUMPRODUCT((dataset!$C$2:$C$807=$A106)*dataset!$B$2:$B$807)/B106</f>
        <v/>
      </c>
      <c r="D106" s="2">
        <f>_xlfn.MINIFS(dataset!$B$2:$B$807,dataset!$C$2:$C$807,$A106)</f>
        <v/>
      </c>
      <c r="E106" s="2">
        <f>_xlfn.MAXIFS(dataset!$B$2:$B$807,dataset!$C$2:$C$807,$A106)</f>
        <v/>
      </c>
      <c r="F106" s="3">
        <f>IFERROR(SUMPRODUCT((dataset!$C$2:$C$807=$A106)*dataset!$I$2:$I$807)/SUMPRODUCT((dataset!$C$2:$C$807=$A106)*(dataset!$I$2:$I$807&lt;&gt;"")),"")</f>
        <v/>
      </c>
      <c r="G106" s="3">
        <f>IFERROR(SUMPRODUCT((dataset!$C$2:$C$807=$A106)*dataset!$J$2:$J$807)/SUMPRODUCT((dataset!$C$2:$C$807=$A106)*(dataset!$J$2:$J$807&lt;&gt;"")),"")</f>
        <v/>
      </c>
    </row>
    <row r="107">
      <c r="A107" s="2" t="inlineStr">
        <is>
          <t>Ariane Ferraz</t>
        </is>
      </c>
      <c r="B107" s="2">
        <f>SUMPRODUCT(--(dataset!$C$2:$C$807=$A107))</f>
        <v/>
      </c>
      <c r="C107" s="3">
        <f>SUMPRODUCT((dataset!$C$2:$C$807=$A107)*dataset!$B$2:$B$807)/B107</f>
        <v/>
      </c>
      <c r="D107" s="2">
        <f>_xlfn.MINIFS(dataset!$B$2:$B$807,dataset!$C$2:$C$807,$A107)</f>
        <v/>
      </c>
      <c r="E107" s="2">
        <f>_xlfn.MAXIFS(dataset!$B$2:$B$807,dataset!$C$2:$C$807,$A107)</f>
        <v/>
      </c>
      <c r="F107" s="3">
        <f>IFERROR(SUMPRODUCT((dataset!$C$2:$C$807=$A107)*dataset!$I$2:$I$807)/SUMPRODUCT((dataset!$C$2:$C$807=$A107)*(dataset!$I$2:$I$807&lt;&gt;"")),"")</f>
        <v/>
      </c>
      <c r="G107" s="3">
        <f>IFERROR(SUMPRODUCT((dataset!$C$2:$C$807=$A107)*dataset!$J$2:$J$807)/SUMPRODUCT((dataset!$C$2:$C$807=$A107)*(dataset!$J$2:$J$807&lt;&gt;"")),"")</f>
        <v/>
      </c>
    </row>
    <row r="108">
      <c r="A108" s="2" t="inlineStr">
        <is>
          <t>Arthur Marshall</t>
        </is>
      </c>
      <c r="B108" s="2">
        <f>SUMPRODUCT(--(dataset!$C$2:$C$807=$A108))</f>
        <v/>
      </c>
      <c r="C108" s="3">
        <f>SUMPRODUCT((dataset!$C$2:$C$807=$A108)*dataset!$B$2:$B$807)/B108</f>
        <v/>
      </c>
      <c r="D108" s="2">
        <f>_xlfn.MINIFS(dataset!$B$2:$B$807,dataset!$C$2:$C$807,$A108)</f>
        <v/>
      </c>
      <c r="E108" s="2">
        <f>_xlfn.MAXIFS(dataset!$B$2:$B$807,dataset!$C$2:$C$807,$A108)</f>
        <v/>
      </c>
      <c r="F108" s="3">
        <f>IFERROR(SUMPRODUCT((dataset!$C$2:$C$807=$A108)*dataset!$I$2:$I$807)/SUMPRODUCT((dataset!$C$2:$C$807=$A108)*(dataset!$I$2:$I$807&lt;&gt;"")),"")</f>
        <v/>
      </c>
      <c r="G108" s="3">
        <f>IFERROR(SUMPRODUCT((dataset!$C$2:$C$807=$A108)*dataset!$J$2:$J$807)/SUMPRODUCT((dataset!$C$2:$C$807=$A108)*(dataset!$J$2:$J$807&lt;&gt;"")),"")</f>
        <v/>
      </c>
    </row>
    <row r="109">
      <c r="A109" s="2" t="inlineStr">
        <is>
          <t>Aspect Zero</t>
        </is>
      </c>
      <c r="B109" s="2">
        <f>SUMPRODUCT(--(dataset!$C$2:$C$807=$A109))</f>
        <v/>
      </c>
      <c r="C109" s="3">
        <f>SUMPRODUCT((dataset!$C$2:$C$807=$A109)*dataset!$B$2:$B$807)/B109</f>
        <v/>
      </c>
      <c r="D109" s="2">
        <f>_xlfn.MINIFS(dataset!$B$2:$B$807,dataset!$C$2:$C$807,$A109)</f>
        <v/>
      </c>
      <c r="E109" s="2">
        <f>_xlfn.MAXIFS(dataset!$B$2:$B$807,dataset!$C$2:$C$807,$A109)</f>
        <v/>
      </c>
      <c r="F109" s="3">
        <f>IFERROR(SUMPRODUCT((dataset!$C$2:$C$807=$A109)*dataset!$I$2:$I$807)/SUMPRODUCT((dataset!$C$2:$C$807=$A109)*(dataset!$I$2:$I$807&lt;&gt;"")),"")</f>
        <v/>
      </c>
      <c r="G109" s="3">
        <f>IFERROR(SUMPRODUCT((dataset!$C$2:$C$807=$A109)*dataset!$J$2:$J$807)/SUMPRODUCT((dataset!$C$2:$C$807=$A109)*(dataset!$J$2:$J$807&lt;&gt;"")),"")</f>
        <v/>
      </c>
    </row>
    <row r="110">
      <c r="A110" s="2" t="inlineStr">
        <is>
          <t>Banjo Paterson</t>
        </is>
      </c>
      <c r="B110" s="2">
        <f>SUMPRODUCT(--(dataset!$C$2:$C$807=$A110))</f>
        <v/>
      </c>
      <c r="C110" s="3">
        <f>SUMPRODUCT((dataset!$C$2:$C$807=$A110)*dataset!$B$2:$B$807)/B110</f>
        <v/>
      </c>
      <c r="D110" s="2">
        <f>_xlfn.MINIFS(dataset!$B$2:$B$807,dataset!$C$2:$C$807,$A110)</f>
        <v/>
      </c>
      <c r="E110" s="2">
        <f>_xlfn.MAXIFS(dataset!$B$2:$B$807,dataset!$C$2:$C$807,$A110)</f>
        <v/>
      </c>
      <c r="F110" s="3">
        <f>IFERROR(SUMPRODUCT((dataset!$C$2:$C$807=$A110)*dataset!$I$2:$I$807)/SUMPRODUCT((dataset!$C$2:$C$807=$A110)*(dataset!$I$2:$I$807&lt;&gt;"")),"")</f>
        <v/>
      </c>
      <c r="G110" s="3">
        <f>IFERROR(SUMPRODUCT((dataset!$C$2:$C$807=$A110)*dataset!$J$2:$J$807)/SUMPRODUCT((dataset!$C$2:$C$807=$A110)*(dataset!$J$2:$J$807&lt;&gt;"")),"")</f>
        <v/>
      </c>
    </row>
    <row r="111">
      <c r="A111" s="2" t="inlineStr">
        <is>
          <t>Bedřich Smetana</t>
        </is>
      </c>
      <c r="B111" s="2">
        <f>SUMPRODUCT(--(dataset!$C$2:$C$807=$A111))</f>
        <v/>
      </c>
      <c r="C111" s="3">
        <f>SUMPRODUCT((dataset!$C$2:$C$807=$A111)*dataset!$B$2:$B$807)/B111</f>
        <v/>
      </c>
      <c r="D111" s="2">
        <f>_xlfn.MINIFS(dataset!$B$2:$B$807,dataset!$C$2:$C$807,$A111)</f>
        <v/>
      </c>
      <c r="E111" s="2">
        <f>_xlfn.MAXIFS(dataset!$B$2:$B$807,dataset!$C$2:$C$807,$A111)</f>
        <v/>
      </c>
      <c r="F111" s="3">
        <f>IFERROR(SUMPRODUCT((dataset!$C$2:$C$807=$A111)*dataset!$I$2:$I$807)/SUMPRODUCT((dataset!$C$2:$C$807=$A111)*(dataset!$I$2:$I$807&lt;&gt;"")),"")</f>
        <v/>
      </c>
      <c r="G111" s="3">
        <f>IFERROR(SUMPRODUCT((dataset!$C$2:$C$807=$A111)*dataset!$J$2:$J$807)/SUMPRODUCT((dataset!$C$2:$C$807=$A111)*(dataset!$J$2:$J$807&lt;&gt;"")),"")</f>
        <v/>
      </c>
    </row>
    <row r="112">
      <c r="A112" s="2" t="inlineStr">
        <is>
          <t>Bianca Giovanella</t>
        </is>
      </c>
      <c r="B112" s="2">
        <f>SUMPRODUCT(--(dataset!$C$2:$C$807=$A112))</f>
        <v/>
      </c>
      <c r="C112" s="3">
        <f>SUMPRODUCT((dataset!$C$2:$C$807=$A112)*dataset!$B$2:$B$807)/B112</f>
        <v/>
      </c>
      <c r="D112" s="2">
        <f>_xlfn.MINIFS(dataset!$B$2:$B$807,dataset!$C$2:$C$807,$A112)</f>
        <v/>
      </c>
      <c r="E112" s="2">
        <f>_xlfn.MAXIFS(dataset!$B$2:$B$807,dataset!$C$2:$C$807,$A112)</f>
        <v/>
      </c>
      <c r="F112" s="3">
        <f>IFERROR(SUMPRODUCT((dataset!$C$2:$C$807=$A112)*dataset!$I$2:$I$807)/SUMPRODUCT((dataset!$C$2:$C$807=$A112)*(dataset!$I$2:$I$807&lt;&gt;"")),"")</f>
        <v/>
      </c>
      <c r="G112" s="3">
        <f>IFERROR(SUMPRODUCT((dataset!$C$2:$C$807=$A112)*dataset!$J$2:$J$807)/SUMPRODUCT((dataset!$C$2:$C$807=$A112)*(dataset!$J$2:$J$807&lt;&gt;"")),"")</f>
        <v/>
      </c>
    </row>
    <row r="113">
      <c r="A113" s="2" t="inlineStr">
        <is>
          <t>Bianca Washington</t>
        </is>
      </c>
      <c r="B113" s="2">
        <f>SUMPRODUCT(--(dataset!$C$2:$C$807=$A113))</f>
        <v/>
      </c>
      <c r="C113" s="3">
        <f>SUMPRODUCT((dataset!$C$2:$C$807=$A113)*dataset!$B$2:$B$807)/B113</f>
        <v/>
      </c>
      <c r="D113" s="2">
        <f>_xlfn.MINIFS(dataset!$B$2:$B$807,dataset!$C$2:$C$807,$A113)</f>
        <v/>
      </c>
      <c r="E113" s="2">
        <f>_xlfn.MAXIFS(dataset!$B$2:$B$807,dataset!$C$2:$C$807,$A113)</f>
        <v/>
      </c>
      <c r="F113" s="3">
        <f>IFERROR(SUMPRODUCT((dataset!$C$2:$C$807=$A113)*dataset!$I$2:$I$807)/SUMPRODUCT((dataset!$C$2:$C$807=$A113)*(dataset!$I$2:$I$807&lt;&gt;"")),"")</f>
        <v/>
      </c>
      <c r="G113" s="3">
        <f>IFERROR(SUMPRODUCT((dataset!$C$2:$C$807=$A113)*dataset!$J$2:$J$807)/SUMPRODUCT((dataset!$C$2:$C$807=$A113)*(dataset!$J$2:$J$807&lt;&gt;"")),"")</f>
        <v/>
      </c>
    </row>
    <row r="114">
      <c r="A114" s="2" t="inlineStr">
        <is>
          <t>Billie Eilish</t>
        </is>
      </c>
      <c r="B114" s="2">
        <f>SUMPRODUCT(--(dataset!$C$2:$C$807=$A114))</f>
        <v/>
      </c>
      <c r="C114" s="3">
        <f>SUMPRODUCT((dataset!$C$2:$C$807=$A114)*dataset!$B$2:$B$807)/B114</f>
        <v/>
      </c>
      <c r="D114" s="2">
        <f>_xlfn.MINIFS(dataset!$B$2:$B$807,dataset!$C$2:$C$807,$A114)</f>
        <v/>
      </c>
      <c r="E114" s="2">
        <f>_xlfn.MAXIFS(dataset!$B$2:$B$807,dataset!$C$2:$C$807,$A114)</f>
        <v/>
      </c>
      <c r="F114" s="3">
        <f>IFERROR(SUMPRODUCT((dataset!$C$2:$C$807=$A114)*dataset!$I$2:$I$807)/SUMPRODUCT((dataset!$C$2:$C$807=$A114)*(dataset!$I$2:$I$807&lt;&gt;"")),"")</f>
        <v/>
      </c>
      <c r="G114" s="3">
        <f>IFERROR(SUMPRODUCT((dataset!$C$2:$C$807=$A114)*dataset!$J$2:$J$807)/SUMPRODUCT((dataset!$C$2:$C$807=$A114)*(dataset!$J$2:$J$807&lt;&gt;"")),"")</f>
        <v/>
      </c>
    </row>
    <row r="115">
      <c r="A115" s="2" t="inlineStr">
        <is>
          <t>Billy James</t>
        </is>
      </c>
      <c r="B115" s="2">
        <f>SUMPRODUCT(--(dataset!$C$2:$C$807=$A115))</f>
        <v/>
      </c>
      <c r="C115" s="3">
        <f>SUMPRODUCT((dataset!$C$2:$C$807=$A115)*dataset!$B$2:$B$807)/B115</f>
        <v/>
      </c>
      <c r="D115" s="2">
        <f>_xlfn.MINIFS(dataset!$B$2:$B$807,dataset!$C$2:$C$807,$A115)</f>
        <v/>
      </c>
      <c r="E115" s="2">
        <f>_xlfn.MAXIFS(dataset!$B$2:$B$807,dataset!$C$2:$C$807,$A115)</f>
        <v/>
      </c>
      <c r="F115" s="3">
        <f>IFERROR(SUMPRODUCT((dataset!$C$2:$C$807=$A115)*dataset!$I$2:$I$807)/SUMPRODUCT((dataset!$C$2:$C$807=$A115)*(dataset!$I$2:$I$807&lt;&gt;"")),"")</f>
        <v/>
      </c>
      <c r="G115" s="3">
        <f>IFERROR(SUMPRODUCT((dataset!$C$2:$C$807=$A115)*dataset!$J$2:$J$807)/SUMPRODUCT((dataset!$C$2:$C$807=$A115)*(dataset!$J$2:$J$807&lt;&gt;"")),"")</f>
        <v/>
      </c>
    </row>
    <row r="116">
      <c r="A116" s="2" t="inlineStr">
        <is>
          <t>Billy Talbot</t>
        </is>
      </c>
      <c r="B116" s="2">
        <f>SUMPRODUCT(--(dataset!$C$2:$C$807=$A116))</f>
        <v/>
      </c>
      <c r="C116" s="3">
        <f>SUMPRODUCT((dataset!$C$2:$C$807=$A116)*dataset!$B$2:$B$807)/B116</f>
        <v/>
      </c>
      <c r="D116" s="2">
        <f>_xlfn.MINIFS(dataset!$B$2:$B$807,dataset!$C$2:$C$807,$A116)</f>
        <v/>
      </c>
      <c r="E116" s="2">
        <f>_xlfn.MAXIFS(dataset!$B$2:$B$807,dataset!$C$2:$C$807,$A116)</f>
        <v/>
      </c>
      <c r="F116" s="3">
        <f>IFERROR(SUMPRODUCT((dataset!$C$2:$C$807=$A116)*dataset!$I$2:$I$807)/SUMPRODUCT((dataset!$C$2:$C$807=$A116)*(dataset!$I$2:$I$807&lt;&gt;"")),"")</f>
        <v/>
      </c>
      <c r="G116" s="3">
        <f>IFERROR(SUMPRODUCT((dataset!$C$2:$C$807=$A116)*dataset!$J$2:$J$807)/SUMPRODUCT((dataset!$C$2:$C$807=$A116)*(dataset!$J$2:$J$807&lt;&gt;"")),"")</f>
        <v/>
      </c>
    </row>
    <row r="117">
      <c r="A117" s="2" t="inlineStr">
        <is>
          <t>Brad Breeck</t>
        </is>
      </c>
      <c r="B117" s="2">
        <f>SUMPRODUCT(--(dataset!$C$2:$C$807=$A117))</f>
        <v/>
      </c>
      <c r="C117" s="3">
        <f>SUMPRODUCT((dataset!$C$2:$C$807=$A117)*dataset!$B$2:$B$807)/B117</f>
        <v/>
      </c>
      <c r="D117" s="2">
        <f>_xlfn.MINIFS(dataset!$B$2:$B$807,dataset!$C$2:$C$807,$A117)</f>
        <v/>
      </c>
      <c r="E117" s="2">
        <f>_xlfn.MAXIFS(dataset!$B$2:$B$807,dataset!$C$2:$C$807,$A117)</f>
        <v/>
      </c>
      <c r="F117" s="3">
        <f>IFERROR(SUMPRODUCT((dataset!$C$2:$C$807=$A117)*dataset!$I$2:$I$807)/SUMPRODUCT((dataset!$C$2:$C$807=$A117)*(dataset!$I$2:$I$807&lt;&gt;"")),"")</f>
        <v/>
      </c>
      <c r="G117" s="3">
        <f>IFERROR(SUMPRODUCT((dataset!$C$2:$C$807=$A117)*dataset!$J$2:$J$807)/SUMPRODUCT((dataset!$C$2:$C$807=$A117)*(dataset!$J$2:$J$807&lt;&gt;"")),"")</f>
        <v/>
      </c>
    </row>
    <row r="118">
      <c r="A118" s="2" t="inlineStr">
        <is>
          <t>Brad Breeck &amp; Brian Parkhurst</t>
        </is>
      </c>
      <c r="B118" s="2">
        <f>SUMPRODUCT(--(dataset!$C$2:$C$807=$A118))</f>
        <v/>
      </c>
      <c r="C118" s="3">
        <f>SUMPRODUCT((dataset!$C$2:$C$807=$A118)*dataset!$B$2:$B$807)/B118</f>
        <v/>
      </c>
      <c r="D118" s="2">
        <f>_xlfn.MINIFS(dataset!$B$2:$B$807,dataset!$C$2:$C$807,$A118)</f>
        <v/>
      </c>
      <c r="E118" s="2">
        <f>_xlfn.MAXIFS(dataset!$B$2:$B$807,dataset!$C$2:$C$807,$A118)</f>
        <v/>
      </c>
      <c r="F118" s="3">
        <f>IFERROR(SUMPRODUCT((dataset!$C$2:$C$807=$A118)*dataset!$I$2:$I$807)/SUMPRODUCT((dataset!$C$2:$C$807=$A118)*(dataset!$I$2:$I$807&lt;&gt;"")),"")</f>
        <v/>
      </c>
      <c r="G118" s="3">
        <f>IFERROR(SUMPRODUCT((dataset!$C$2:$C$807=$A118)*dataset!$J$2:$J$807)/SUMPRODUCT((dataset!$C$2:$C$807=$A118)*(dataset!$J$2:$J$807&lt;&gt;"")),"")</f>
        <v/>
      </c>
    </row>
    <row r="119">
      <c r="A119" s="2" t="inlineStr">
        <is>
          <t>Braden Jones</t>
        </is>
      </c>
      <c r="B119" s="2">
        <f>SUMPRODUCT(--(dataset!$C$2:$C$807=$A119))</f>
        <v/>
      </c>
      <c r="C119" s="3">
        <f>SUMPRODUCT((dataset!$C$2:$C$807=$A119)*dataset!$B$2:$B$807)/B119</f>
        <v/>
      </c>
      <c r="D119" s="2">
        <f>_xlfn.MINIFS(dataset!$B$2:$B$807,dataset!$C$2:$C$807,$A119)</f>
        <v/>
      </c>
      <c r="E119" s="2">
        <f>_xlfn.MAXIFS(dataset!$B$2:$B$807,dataset!$C$2:$C$807,$A119)</f>
        <v/>
      </c>
      <c r="F119" s="3">
        <f>IFERROR(SUMPRODUCT((dataset!$C$2:$C$807=$A119)*dataset!$I$2:$I$807)/SUMPRODUCT((dataset!$C$2:$C$807=$A119)*(dataset!$I$2:$I$807&lt;&gt;"")),"")</f>
        <v/>
      </c>
      <c r="G119" s="3">
        <f>IFERROR(SUMPRODUCT((dataset!$C$2:$C$807=$A119)*dataset!$J$2:$J$807)/SUMPRODUCT((dataset!$C$2:$C$807=$A119)*(dataset!$J$2:$J$807&lt;&gt;"")),"")</f>
        <v/>
      </c>
    </row>
    <row r="120">
      <c r="A120" s="2" t="inlineStr">
        <is>
          <t>Brandyn Silva</t>
        </is>
      </c>
      <c r="B120" s="2">
        <f>SUMPRODUCT(--(dataset!$C$2:$C$807=$A120))</f>
        <v/>
      </c>
      <c r="C120" s="3">
        <f>SUMPRODUCT((dataset!$C$2:$C$807=$A120)*dataset!$B$2:$B$807)/B120</f>
        <v/>
      </c>
      <c r="D120" s="2">
        <f>_xlfn.MINIFS(dataset!$B$2:$B$807,dataset!$C$2:$C$807,$A120)</f>
        <v/>
      </c>
      <c r="E120" s="2">
        <f>_xlfn.MAXIFS(dataset!$B$2:$B$807,dataset!$C$2:$C$807,$A120)</f>
        <v/>
      </c>
      <c r="F120" s="3">
        <f>IFERROR(SUMPRODUCT((dataset!$C$2:$C$807=$A120)*dataset!$I$2:$I$807)/SUMPRODUCT((dataset!$C$2:$C$807=$A120)*(dataset!$I$2:$I$807&lt;&gt;"")),"")</f>
        <v/>
      </c>
      <c r="G120" s="3">
        <f>IFERROR(SUMPRODUCT((dataset!$C$2:$C$807=$A120)*dataset!$J$2:$J$807)/SUMPRODUCT((dataset!$C$2:$C$807=$A120)*(dataset!$J$2:$J$807&lt;&gt;"")),"")</f>
        <v/>
      </c>
    </row>
    <row r="121">
      <c r="A121" s="2" t="inlineStr">
        <is>
          <t>Bridger Mikolai</t>
        </is>
      </c>
      <c r="B121" s="2">
        <f>SUMPRODUCT(--(dataset!$C$2:$C$807=$A121))</f>
        <v/>
      </c>
      <c r="C121" s="3">
        <f>SUMPRODUCT((dataset!$C$2:$C$807=$A121)*dataset!$B$2:$B$807)/B121</f>
        <v/>
      </c>
      <c r="D121" s="2">
        <f>_xlfn.MINIFS(dataset!$B$2:$B$807,dataset!$C$2:$C$807,$A121)</f>
        <v/>
      </c>
      <c r="E121" s="2">
        <f>_xlfn.MAXIFS(dataset!$B$2:$B$807,dataset!$C$2:$C$807,$A121)</f>
        <v/>
      </c>
      <c r="F121" s="3">
        <f>IFERROR(SUMPRODUCT((dataset!$C$2:$C$807=$A121)*dataset!$I$2:$I$807)/SUMPRODUCT((dataset!$C$2:$C$807=$A121)*(dataset!$I$2:$I$807&lt;&gt;"")),"")</f>
        <v/>
      </c>
      <c r="G121" s="3">
        <f>IFERROR(SUMPRODUCT((dataset!$C$2:$C$807=$A121)*dataset!$J$2:$J$807)/SUMPRODUCT((dataset!$C$2:$C$807=$A121)*(dataset!$J$2:$J$807&lt;&gt;"")),"")</f>
        <v/>
      </c>
    </row>
    <row r="122">
      <c r="A122" s="2" t="inlineStr">
        <is>
          <t>Bruce W. Robinson</t>
        </is>
      </c>
      <c r="B122" s="2">
        <f>SUMPRODUCT(--(dataset!$C$2:$C$807=$A122))</f>
        <v/>
      </c>
      <c r="C122" s="3">
        <f>SUMPRODUCT((dataset!$C$2:$C$807=$A122)*dataset!$B$2:$B$807)/B122</f>
        <v/>
      </c>
      <c r="D122" s="2">
        <f>_xlfn.MINIFS(dataset!$B$2:$B$807,dataset!$C$2:$C$807,$A122)</f>
        <v/>
      </c>
      <c r="E122" s="2">
        <f>_xlfn.MAXIFS(dataset!$B$2:$B$807,dataset!$C$2:$C$807,$A122)</f>
        <v/>
      </c>
      <c r="F122" s="3">
        <f>IFERROR(SUMPRODUCT((dataset!$C$2:$C$807=$A122)*dataset!$I$2:$I$807)/SUMPRODUCT((dataset!$C$2:$C$807=$A122)*(dataset!$I$2:$I$807&lt;&gt;"")),"")</f>
        <v/>
      </c>
      <c r="G122" s="3">
        <f>IFERROR(SUMPRODUCT((dataset!$C$2:$C$807=$A122)*dataset!$J$2:$J$807)/SUMPRODUCT((dataset!$C$2:$C$807=$A122)*(dataset!$J$2:$J$807&lt;&gt;"")),"")</f>
        <v/>
      </c>
    </row>
    <row r="123">
      <c r="A123" s="2" t="inlineStr">
        <is>
          <t>Bruno Mars &amp; Cardi B</t>
        </is>
      </c>
      <c r="B123" s="2">
        <f>SUMPRODUCT(--(dataset!$C$2:$C$807=$A123))</f>
        <v/>
      </c>
      <c r="C123" s="3">
        <f>SUMPRODUCT((dataset!$C$2:$C$807=$A123)*dataset!$B$2:$B$807)/B123</f>
        <v/>
      </c>
      <c r="D123" s="2">
        <f>_xlfn.MINIFS(dataset!$B$2:$B$807,dataset!$C$2:$C$807,$A123)</f>
        <v/>
      </c>
      <c r="E123" s="2">
        <f>_xlfn.MAXIFS(dataset!$B$2:$B$807,dataset!$C$2:$C$807,$A123)</f>
        <v/>
      </c>
      <c r="F123" s="3">
        <f>IFERROR(SUMPRODUCT((dataset!$C$2:$C$807=$A123)*dataset!$I$2:$I$807)/SUMPRODUCT((dataset!$C$2:$C$807=$A123)*(dataset!$I$2:$I$807&lt;&gt;"")),"")</f>
        <v/>
      </c>
      <c r="G123" s="3">
        <f>IFERROR(SUMPRODUCT((dataset!$C$2:$C$807=$A123)*dataset!$J$2:$J$807)/SUMPRODUCT((dataset!$C$2:$C$807=$A123)*(dataset!$J$2:$J$807&lt;&gt;"")),"")</f>
        <v/>
      </c>
    </row>
    <row r="124">
      <c r="A124" s="2" t="inlineStr">
        <is>
          <t>Buddy Greene</t>
        </is>
      </c>
      <c r="B124" s="2">
        <f>SUMPRODUCT(--(dataset!$C$2:$C$807=$A124))</f>
        <v/>
      </c>
      <c r="C124" s="3">
        <f>SUMPRODUCT((dataset!$C$2:$C$807=$A124)*dataset!$B$2:$B$807)/B124</f>
        <v/>
      </c>
      <c r="D124" s="2">
        <f>_xlfn.MINIFS(dataset!$B$2:$B$807,dataset!$C$2:$C$807,$A124)</f>
        <v/>
      </c>
      <c r="E124" s="2">
        <f>_xlfn.MAXIFS(dataset!$B$2:$B$807,dataset!$C$2:$C$807,$A124)</f>
        <v/>
      </c>
      <c r="F124" s="3">
        <f>IFERROR(SUMPRODUCT((dataset!$C$2:$C$807=$A124)*dataset!$I$2:$I$807)/SUMPRODUCT((dataset!$C$2:$C$807=$A124)*(dataset!$I$2:$I$807&lt;&gt;"")),"")</f>
        <v/>
      </c>
      <c r="G124" s="3">
        <f>IFERROR(SUMPRODUCT((dataset!$C$2:$C$807=$A124)*dataset!$J$2:$J$807)/SUMPRODUCT((dataset!$C$2:$C$807=$A124)*(dataset!$J$2:$J$807&lt;&gt;"")),"")</f>
        <v/>
      </c>
    </row>
    <row r="125">
      <c r="A125" s="2" t="inlineStr">
        <is>
          <t>C. Duane Crabb</t>
        </is>
      </c>
      <c r="B125" s="2">
        <f>SUMPRODUCT(--(dataset!$C$2:$C$807=$A125))</f>
        <v/>
      </c>
      <c r="C125" s="3">
        <f>SUMPRODUCT((dataset!$C$2:$C$807=$A125)*dataset!$B$2:$B$807)/B125</f>
        <v/>
      </c>
      <c r="D125" s="2">
        <f>_xlfn.MINIFS(dataset!$B$2:$B$807,dataset!$C$2:$C$807,$A125)</f>
        <v/>
      </c>
      <c r="E125" s="2">
        <f>_xlfn.MAXIFS(dataset!$B$2:$B$807,dataset!$C$2:$C$807,$A125)</f>
        <v/>
      </c>
      <c r="F125" s="3">
        <f>IFERROR(SUMPRODUCT((dataset!$C$2:$C$807=$A125)*dataset!$I$2:$I$807)/SUMPRODUCT((dataset!$C$2:$C$807=$A125)*(dataset!$I$2:$I$807&lt;&gt;"")),"")</f>
        <v/>
      </c>
      <c r="G125" s="3">
        <f>IFERROR(SUMPRODUCT((dataset!$C$2:$C$807=$A125)*dataset!$J$2:$J$807)/SUMPRODUCT((dataset!$C$2:$C$807=$A125)*(dataset!$J$2:$J$807&lt;&gt;"")),"")</f>
        <v/>
      </c>
    </row>
    <row r="126">
      <c r="A126" s="2" t="inlineStr">
        <is>
          <t>Caleb Danielson</t>
        </is>
      </c>
      <c r="B126" s="2">
        <f>SUMPRODUCT(--(dataset!$C$2:$C$807=$A126))</f>
        <v/>
      </c>
      <c r="C126" s="3">
        <f>SUMPRODUCT((dataset!$C$2:$C$807=$A126)*dataset!$B$2:$B$807)/B126</f>
        <v/>
      </c>
      <c r="D126" s="2">
        <f>_xlfn.MINIFS(dataset!$B$2:$B$807,dataset!$C$2:$C$807,$A126)</f>
        <v/>
      </c>
      <c r="E126" s="2">
        <f>_xlfn.MAXIFS(dataset!$B$2:$B$807,dataset!$C$2:$C$807,$A126)</f>
        <v/>
      </c>
      <c r="F126" s="3">
        <f>IFERROR(SUMPRODUCT((dataset!$C$2:$C$807=$A126)*dataset!$I$2:$I$807)/SUMPRODUCT((dataset!$C$2:$C$807=$A126)*(dataset!$I$2:$I$807&lt;&gt;"")),"")</f>
        <v/>
      </c>
      <c r="G126" s="3">
        <f>IFERROR(SUMPRODUCT((dataset!$C$2:$C$807=$A126)*dataset!$J$2:$J$807)/SUMPRODUCT((dataset!$C$2:$C$807=$A126)*(dataset!$J$2:$J$807&lt;&gt;"")),"")</f>
        <v/>
      </c>
    </row>
    <row r="127">
      <c r="A127" s="2" t="inlineStr">
        <is>
          <t>Cameron McMahon</t>
        </is>
      </c>
      <c r="B127" s="2">
        <f>SUMPRODUCT(--(dataset!$C$2:$C$807=$A127))</f>
        <v/>
      </c>
      <c r="C127" s="3">
        <f>SUMPRODUCT((dataset!$C$2:$C$807=$A127)*dataset!$B$2:$B$807)/B127</f>
        <v/>
      </c>
      <c r="D127" s="2">
        <f>_xlfn.MINIFS(dataset!$B$2:$B$807,dataset!$C$2:$C$807,$A127)</f>
        <v/>
      </c>
      <c r="E127" s="2">
        <f>_xlfn.MAXIFS(dataset!$B$2:$B$807,dataset!$C$2:$C$807,$A127)</f>
        <v/>
      </c>
      <c r="F127" s="3">
        <f>IFERROR(SUMPRODUCT((dataset!$C$2:$C$807=$A127)*dataset!$I$2:$I$807)/SUMPRODUCT((dataset!$C$2:$C$807=$A127)*(dataset!$I$2:$I$807&lt;&gt;"")),"")</f>
        <v/>
      </c>
      <c r="G127" s="3">
        <f>IFERROR(SUMPRODUCT((dataset!$C$2:$C$807=$A127)*dataset!$J$2:$J$807)/SUMPRODUCT((dataset!$C$2:$C$807=$A127)*(dataset!$J$2:$J$807&lt;&gt;"")),"")</f>
        <v/>
      </c>
    </row>
    <row r="128">
      <c r="A128" s="2" t="inlineStr">
        <is>
          <t>Caramella Girls</t>
        </is>
      </c>
      <c r="B128" s="2">
        <f>SUMPRODUCT(--(dataset!$C$2:$C$807=$A128))</f>
        <v/>
      </c>
      <c r="C128" s="3">
        <f>SUMPRODUCT((dataset!$C$2:$C$807=$A128)*dataset!$B$2:$B$807)/B128</f>
        <v/>
      </c>
      <c r="D128" s="2">
        <f>_xlfn.MINIFS(dataset!$B$2:$B$807,dataset!$C$2:$C$807,$A128)</f>
        <v/>
      </c>
      <c r="E128" s="2">
        <f>_xlfn.MAXIFS(dataset!$B$2:$B$807,dataset!$C$2:$C$807,$A128)</f>
        <v/>
      </c>
      <c r="F128" s="3">
        <f>IFERROR(SUMPRODUCT((dataset!$C$2:$C$807=$A128)*dataset!$I$2:$I$807)/SUMPRODUCT((dataset!$C$2:$C$807=$A128)*(dataset!$I$2:$I$807&lt;&gt;"")),"")</f>
        <v/>
      </c>
      <c r="G128" s="3">
        <f>IFERROR(SUMPRODUCT((dataset!$C$2:$C$807=$A128)*dataset!$J$2:$J$807)/SUMPRODUCT((dataset!$C$2:$C$807=$A128)*(dataset!$J$2:$J$807&lt;&gt;"")),"")</f>
        <v/>
      </c>
    </row>
    <row r="129">
      <c r="A129" s="2" t="inlineStr">
        <is>
          <t>Carl Lexhoizt</t>
        </is>
      </c>
      <c r="B129" s="2">
        <f>SUMPRODUCT(--(dataset!$C$2:$C$807=$A129))</f>
        <v/>
      </c>
      <c r="C129" s="3">
        <f>SUMPRODUCT((dataset!$C$2:$C$807=$A129)*dataset!$B$2:$B$807)/B129</f>
        <v/>
      </c>
      <c r="D129" s="2">
        <f>_xlfn.MINIFS(dataset!$B$2:$B$807,dataset!$C$2:$C$807,$A129)</f>
        <v/>
      </c>
      <c r="E129" s="2">
        <f>_xlfn.MAXIFS(dataset!$B$2:$B$807,dataset!$C$2:$C$807,$A129)</f>
        <v/>
      </c>
      <c r="F129" s="3">
        <f>IFERROR(SUMPRODUCT((dataset!$C$2:$C$807=$A129)*dataset!$I$2:$I$807)/SUMPRODUCT((dataset!$C$2:$C$807=$A129)*(dataset!$I$2:$I$807&lt;&gt;"")),"")</f>
        <v/>
      </c>
      <c r="G129" s="3">
        <f>IFERROR(SUMPRODUCT((dataset!$C$2:$C$807=$A129)*dataset!$J$2:$J$807)/SUMPRODUCT((dataset!$C$2:$C$807=$A129)*(dataset!$J$2:$J$807&lt;&gt;"")),"")</f>
        <v/>
      </c>
    </row>
    <row r="130">
      <c r="A130" s="2" t="inlineStr">
        <is>
          <t>Carl Nielsen</t>
        </is>
      </c>
      <c r="B130" s="2">
        <f>SUMPRODUCT(--(dataset!$C$2:$C$807=$A130))</f>
        <v/>
      </c>
      <c r="C130" s="3">
        <f>SUMPRODUCT((dataset!$C$2:$C$807=$A130)*dataset!$B$2:$B$807)/B130</f>
        <v/>
      </c>
      <c r="D130" s="2">
        <f>_xlfn.MINIFS(dataset!$B$2:$B$807,dataset!$C$2:$C$807,$A130)</f>
        <v/>
      </c>
      <c r="E130" s="2">
        <f>_xlfn.MAXIFS(dataset!$B$2:$B$807,dataset!$C$2:$C$807,$A130)</f>
        <v/>
      </c>
      <c r="F130" s="3">
        <f>IFERROR(SUMPRODUCT((dataset!$C$2:$C$807=$A130)*dataset!$I$2:$I$807)/SUMPRODUCT((dataset!$C$2:$C$807=$A130)*(dataset!$I$2:$I$807&lt;&gt;"")),"")</f>
        <v/>
      </c>
      <c r="G130" s="3">
        <f>IFERROR(SUMPRODUCT((dataset!$C$2:$C$807=$A130)*dataset!$J$2:$J$807)/SUMPRODUCT((dataset!$C$2:$C$807=$A130)*(dataset!$J$2:$J$807&lt;&gt;"")),"")</f>
        <v/>
      </c>
    </row>
    <row r="131">
      <c r="A131" s="2" t="inlineStr">
        <is>
          <t>Carlos Hartling</t>
        </is>
      </c>
      <c r="B131" s="2">
        <f>SUMPRODUCT(--(dataset!$C$2:$C$807=$A131))</f>
        <v/>
      </c>
      <c r="C131" s="3">
        <f>SUMPRODUCT((dataset!$C$2:$C$807=$A131)*dataset!$B$2:$B$807)/B131</f>
        <v/>
      </c>
      <c r="D131" s="2">
        <f>_xlfn.MINIFS(dataset!$B$2:$B$807,dataset!$C$2:$C$807,$A131)</f>
        <v/>
      </c>
      <c r="E131" s="2">
        <f>_xlfn.MAXIFS(dataset!$B$2:$B$807,dataset!$C$2:$C$807,$A131)</f>
        <v/>
      </c>
      <c r="F131" s="3">
        <f>IFERROR(SUMPRODUCT((dataset!$C$2:$C$807=$A131)*dataset!$I$2:$I$807)/SUMPRODUCT((dataset!$C$2:$C$807=$A131)*(dataset!$I$2:$I$807&lt;&gt;"")),"")</f>
        <v/>
      </c>
      <c r="G131" s="3">
        <f>IFERROR(SUMPRODUCT((dataset!$C$2:$C$807=$A131)*dataset!$J$2:$J$807)/SUMPRODUCT((dataset!$C$2:$C$807=$A131)*(dataset!$J$2:$J$807&lt;&gt;"")),"")</f>
        <v/>
      </c>
    </row>
    <row r="132">
      <c r="A132" s="2" t="inlineStr">
        <is>
          <t>Carlos Rubira Infante</t>
        </is>
      </c>
      <c r="B132" s="2">
        <f>SUMPRODUCT(--(dataset!$C$2:$C$807=$A132))</f>
        <v/>
      </c>
      <c r="C132" s="3">
        <f>SUMPRODUCT((dataset!$C$2:$C$807=$A132)*dataset!$B$2:$B$807)/B132</f>
        <v/>
      </c>
      <c r="D132" s="2">
        <f>_xlfn.MINIFS(dataset!$B$2:$B$807,dataset!$C$2:$C$807,$A132)</f>
        <v/>
      </c>
      <c r="E132" s="2">
        <f>_xlfn.MAXIFS(dataset!$B$2:$B$807,dataset!$C$2:$C$807,$A132)</f>
        <v/>
      </c>
      <c r="F132" s="3">
        <f>IFERROR(SUMPRODUCT((dataset!$C$2:$C$807=$A132)*dataset!$I$2:$I$807)/SUMPRODUCT((dataset!$C$2:$C$807=$A132)*(dataset!$I$2:$I$807&lt;&gt;"")),"")</f>
        <v/>
      </c>
      <c r="G132" s="3">
        <f>IFERROR(SUMPRODUCT((dataset!$C$2:$C$807=$A132)*dataset!$J$2:$J$807)/SUMPRODUCT((dataset!$C$2:$C$807=$A132)*(dataset!$J$2:$J$807&lt;&gt;"")),"")</f>
        <v/>
      </c>
    </row>
    <row r="133">
      <c r="A133" s="2" t="inlineStr">
        <is>
          <t>Carrol &amp; Fields</t>
        </is>
      </c>
      <c r="B133" s="2">
        <f>SUMPRODUCT(--(dataset!$C$2:$C$807=$A133))</f>
        <v/>
      </c>
      <c r="C133" s="3">
        <f>SUMPRODUCT((dataset!$C$2:$C$807=$A133)*dataset!$B$2:$B$807)/B133</f>
        <v/>
      </c>
      <c r="D133" s="2">
        <f>_xlfn.MINIFS(dataset!$B$2:$B$807,dataset!$C$2:$C$807,$A133)</f>
        <v/>
      </c>
      <c r="E133" s="2">
        <f>_xlfn.MAXIFS(dataset!$B$2:$B$807,dataset!$C$2:$C$807,$A133)</f>
        <v/>
      </c>
      <c r="F133" s="3">
        <f>IFERROR(SUMPRODUCT((dataset!$C$2:$C$807=$A133)*dataset!$I$2:$I$807)/SUMPRODUCT((dataset!$C$2:$C$807=$A133)*(dataset!$I$2:$I$807&lt;&gt;"")),"")</f>
        <v/>
      </c>
      <c r="G133" s="3">
        <f>IFERROR(SUMPRODUCT((dataset!$C$2:$C$807=$A133)*dataset!$J$2:$J$807)/SUMPRODUCT((dataset!$C$2:$C$807=$A133)*(dataset!$J$2:$J$807&lt;&gt;"")),"")</f>
        <v/>
      </c>
    </row>
    <row r="134">
      <c r="A134" s="2" t="inlineStr">
        <is>
          <t>Charles Drumheller</t>
        </is>
      </c>
      <c r="B134" s="2">
        <f>SUMPRODUCT(--(dataset!$C$2:$C$807=$A134))</f>
        <v/>
      </c>
      <c r="C134" s="3">
        <f>SUMPRODUCT((dataset!$C$2:$C$807=$A134)*dataset!$B$2:$B$807)/B134</f>
        <v/>
      </c>
      <c r="D134" s="2">
        <f>_xlfn.MINIFS(dataset!$B$2:$B$807,dataset!$C$2:$C$807,$A134)</f>
        <v/>
      </c>
      <c r="E134" s="2">
        <f>_xlfn.MAXIFS(dataset!$B$2:$B$807,dataset!$C$2:$C$807,$A134)</f>
        <v/>
      </c>
      <c r="F134" s="3">
        <f>IFERROR(SUMPRODUCT((dataset!$C$2:$C$807=$A134)*dataset!$I$2:$I$807)/SUMPRODUCT((dataset!$C$2:$C$807=$A134)*(dataset!$I$2:$I$807&lt;&gt;"")),"")</f>
        <v/>
      </c>
      <c r="G134" s="3">
        <f>IFERROR(SUMPRODUCT((dataset!$C$2:$C$807=$A134)*dataset!$J$2:$J$807)/SUMPRODUCT((dataset!$C$2:$C$807=$A134)*(dataset!$J$2:$J$807&lt;&gt;"")),"")</f>
        <v/>
      </c>
    </row>
    <row r="135">
      <c r="A135" s="2" t="inlineStr">
        <is>
          <t>Charles Hunter</t>
        </is>
      </c>
      <c r="B135" s="2">
        <f>SUMPRODUCT(--(dataset!$C$2:$C$807=$A135))</f>
        <v/>
      </c>
      <c r="C135" s="3">
        <f>SUMPRODUCT((dataset!$C$2:$C$807=$A135)*dataset!$B$2:$B$807)/B135</f>
        <v/>
      </c>
      <c r="D135" s="2">
        <f>_xlfn.MINIFS(dataset!$B$2:$B$807,dataset!$C$2:$C$807,$A135)</f>
        <v/>
      </c>
      <c r="E135" s="2">
        <f>_xlfn.MAXIFS(dataset!$B$2:$B$807,dataset!$C$2:$C$807,$A135)</f>
        <v/>
      </c>
      <c r="F135" s="3">
        <f>IFERROR(SUMPRODUCT((dataset!$C$2:$C$807=$A135)*dataset!$I$2:$I$807)/SUMPRODUCT((dataset!$C$2:$C$807=$A135)*(dataset!$I$2:$I$807&lt;&gt;"")),"")</f>
        <v/>
      </c>
      <c r="G135" s="3">
        <f>IFERROR(SUMPRODUCT((dataset!$C$2:$C$807=$A135)*dataset!$J$2:$J$807)/SUMPRODUCT((dataset!$C$2:$C$807=$A135)*(dataset!$J$2:$J$807&lt;&gt;"")),"")</f>
        <v/>
      </c>
    </row>
    <row r="136">
      <c r="A136" s="2" t="inlineStr">
        <is>
          <t>Charles Smith</t>
        </is>
      </c>
      <c r="B136" s="2">
        <f>SUMPRODUCT(--(dataset!$C$2:$C$807=$A136))</f>
        <v/>
      </c>
      <c r="C136" s="3">
        <f>SUMPRODUCT((dataset!$C$2:$C$807=$A136)*dataset!$B$2:$B$807)/B136</f>
        <v/>
      </c>
      <c r="D136" s="2">
        <f>_xlfn.MINIFS(dataset!$B$2:$B$807,dataset!$C$2:$C$807,$A136)</f>
        <v/>
      </c>
      <c r="E136" s="2">
        <f>_xlfn.MAXIFS(dataset!$B$2:$B$807,dataset!$C$2:$C$807,$A136)</f>
        <v/>
      </c>
      <c r="F136" s="3">
        <f>IFERROR(SUMPRODUCT((dataset!$C$2:$C$807=$A136)*dataset!$I$2:$I$807)/SUMPRODUCT((dataset!$C$2:$C$807=$A136)*(dataset!$I$2:$I$807&lt;&gt;"")),"")</f>
        <v/>
      </c>
      <c r="G136" s="3">
        <f>IFERROR(SUMPRODUCT((dataset!$C$2:$C$807=$A136)*dataset!$J$2:$J$807)/SUMPRODUCT((dataset!$C$2:$C$807=$A136)*(dataset!$J$2:$J$807&lt;&gt;"")),"")</f>
        <v/>
      </c>
    </row>
    <row r="137">
      <c r="A137" s="2" t="inlineStr">
        <is>
          <t>Charlotte Blake</t>
        </is>
      </c>
      <c r="B137" s="2">
        <f>SUMPRODUCT(--(dataset!$C$2:$C$807=$A137))</f>
        <v/>
      </c>
      <c r="C137" s="3">
        <f>SUMPRODUCT((dataset!$C$2:$C$807=$A137)*dataset!$B$2:$B$807)/B137</f>
        <v/>
      </c>
      <c r="D137" s="2">
        <f>_xlfn.MINIFS(dataset!$B$2:$B$807,dataset!$C$2:$C$807,$A137)</f>
        <v/>
      </c>
      <c r="E137" s="2">
        <f>_xlfn.MAXIFS(dataset!$B$2:$B$807,dataset!$C$2:$C$807,$A137)</f>
        <v/>
      </c>
      <c r="F137" s="3">
        <f>IFERROR(SUMPRODUCT((dataset!$C$2:$C$807=$A137)*dataset!$I$2:$I$807)/SUMPRODUCT((dataset!$C$2:$C$807=$A137)*(dataset!$I$2:$I$807&lt;&gt;"")),"")</f>
        <v/>
      </c>
      <c r="G137" s="3">
        <f>IFERROR(SUMPRODUCT((dataset!$C$2:$C$807=$A137)*dataset!$J$2:$J$807)/SUMPRODUCT((dataset!$C$2:$C$807=$A137)*(dataset!$J$2:$J$807&lt;&gt;"")),"")</f>
        <v/>
      </c>
    </row>
    <row r="138">
      <c r="A138" s="2" t="inlineStr">
        <is>
          <t>Chase Omura</t>
        </is>
      </c>
      <c r="B138" s="2">
        <f>SUMPRODUCT(--(dataset!$C$2:$C$807=$A138))</f>
        <v/>
      </c>
      <c r="C138" s="3">
        <f>SUMPRODUCT((dataset!$C$2:$C$807=$A138)*dataset!$B$2:$B$807)/B138</f>
        <v/>
      </c>
      <c r="D138" s="2">
        <f>_xlfn.MINIFS(dataset!$B$2:$B$807,dataset!$C$2:$C$807,$A138)</f>
        <v/>
      </c>
      <c r="E138" s="2">
        <f>_xlfn.MAXIFS(dataset!$B$2:$B$807,dataset!$C$2:$C$807,$A138)</f>
        <v/>
      </c>
      <c r="F138" s="3">
        <f>IFERROR(SUMPRODUCT((dataset!$C$2:$C$807=$A138)*dataset!$I$2:$I$807)/SUMPRODUCT((dataset!$C$2:$C$807=$A138)*(dataset!$I$2:$I$807&lt;&gt;"")),"")</f>
        <v/>
      </c>
      <c r="G138" s="3">
        <f>IFERROR(SUMPRODUCT((dataset!$C$2:$C$807=$A138)*dataset!$J$2:$J$807)/SUMPRODUCT((dataset!$C$2:$C$807=$A138)*(dataset!$J$2:$J$807&lt;&gt;"")),"")</f>
        <v/>
      </c>
    </row>
    <row r="139">
      <c r="A139" s="2" t="inlineStr">
        <is>
          <t>Christopher Tin</t>
        </is>
      </c>
      <c r="B139" s="2">
        <f>SUMPRODUCT(--(dataset!$C$2:$C$807=$A139))</f>
        <v/>
      </c>
      <c r="C139" s="3">
        <f>SUMPRODUCT((dataset!$C$2:$C$807=$A139)*dataset!$B$2:$B$807)/B139</f>
        <v/>
      </c>
      <c r="D139" s="2">
        <f>_xlfn.MINIFS(dataset!$B$2:$B$807,dataset!$C$2:$C$807,$A139)</f>
        <v/>
      </c>
      <c r="E139" s="2">
        <f>_xlfn.MAXIFS(dataset!$B$2:$B$807,dataset!$C$2:$C$807,$A139)</f>
        <v/>
      </c>
      <c r="F139" s="3">
        <f>IFERROR(SUMPRODUCT((dataset!$C$2:$C$807=$A139)*dataset!$I$2:$I$807)/SUMPRODUCT((dataset!$C$2:$C$807=$A139)*(dataset!$I$2:$I$807&lt;&gt;"")),"")</f>
        <v/>
      </c>
      <c r="G139" s="3">
        <f>IFERROR(SUMPRODUCT((dataset!$C$2:$C$807=$A139)*dataset!$J$2:$J$807)/SUMPRODUCT((dataset!$C$2:$C$807=$A139)*(dataset!$J$2:$J$807&lt;&gt;"")),"")</f>
        <v/>
      </c>
    </row>
    <row r="140">
      <c r="A140" s="2" t="inlineStr">
        <is>
          <t>Christy Carlson Romano</t>
        </is>
      </c>
      <c r="B140" s="2">
        <f>SUMPRODUCT(--(dataset!$C$2:$C$807=$A140))</f>
        <v/>
      </c>
      <c r="C140" s="3">
        <f>SUMPRODUCT((dataset!$C$2:$C$807=$A140)*dataset!$B$2:$B$807)/B140</f>
        <v/>
      </c>
      <c r="D140" s="2">
        <f>_xlfn.MINIFS(dataset!$B$2:$B$807,dataset!$C$2:$C$807,$A140)</f>
        <v/>
      </c>
      <c r="E140" s="2">
        <f>_xlfn.MAXIFS(dataset!$B$2:$B$807,dataset!$C$2:$C$807,$A140)</f>
        <v/>
      </c>
      <c r="F140" s="3">
        <f>IFERROR(SUMPRODUCT((dataset!$C$2:$C$807=$A140)*dataset!$I$2:$I$807)/SUMPRODUCT((dataset!$C$2:$C$807=$A140)*(dataset!$I$2:$I$807&lt;&gt;"")),"")</f>
        <v/>
      </c>
      <c r="G140" s="3">
        <f>IFERROR(SUMPRODUCT((dataset!$C$2:$C$807=$A140)*dataset!$J$2:$J$807)/SUMPRODUCT((dataset!$C$2:$C$807=$A140)*(dataset!$J$2:$J$807&lt;&gt;"")),"")</f>
        <v/>
      </c>
    </row>
    <row r="141">
      <c r="A141" s="2" t="inlineStr">
        <is>
          <t>Clarence Gaskill</t>
        </is>
      </c>
      <c r="B141" s="2">
        <f>SUMPRODUCT(--(dataset!$C$2:$C$807=$A141))</f>
        <v/>
      </c>
      <c r="C141" s="3">
        <f>SUMPRODUCT((dataset!$C$2:$C$807=$A141)*dataset!$B$2:$B$807)/B141</f>
        <v/>
      </c>
      <c r="D141" s="2">
        <f>_xlfn.MINIFS(dataset!$B$2:$B$807,dataset!$C$2:$C$807,$A141)</f>
        <v/>
      </c>
      <c r="E141" s="2">
        <f>_xlfn.MAXIFS(dataset!$B$2:$B$807,dataset!$C$2:$C$807,$A141)</f>
        <v/>
      </c>
      <c r="F141" s="3">
        <f>IFERROR(SUMPRODUCT((dataset!$C$2:$C$807=$A141)*dataset!$I$2:$I$807)/SUMPRODUCT((dataset!$C$2:$C$807=$A141)*(dataset!$I$2:$I$807&lt;&gt;"")),"")</f>
        <v/>
      </c>
      <c r="G141" s="3">
        <f>IFERROR(SUMPRODUCT((dataset!$C$2:$C$807=$A141)*dataset!$J$2:$J$807)/SUMPRODUCT((dataset!$C$2:$C$807=$A141)*(dataset!$J$2:$J$807&lt;&gt;"")),"")</f>
        <v/>
      </c>
    </row>
    <row r="142">
      <c r="A142" s="2" t="inlineStr">
        <is>
          <t>Clarence H. St. John</t>
        </is>
      </c>
      <c r="B142" s="2">
        <f>SUMPRODUCT(--(dataset!$C$2:$C$807=$A142))</f>
        <v/>
      </c>
      <c r="C142" s="3">
        <f>SUMPRODUCT((dataset!$C$2:$C$807=$A142)*dataset!$B$2:$B$807)/B142</f>
        <v/>
      </c>
      <c r="D142" s="2">
        <f>_xlfn.MINIFS(dataset!$B$2:$B$807,dataset!$C$2:$C$807,$A142)</f>
        <v/>
      </c>
      <c r="E142" s="2">
        <f>_xlfn.MAXIFS(dataset!$B$2:$B$807,dataset!$C$2:$C$807,$A142)</f>
        <v/>
      </c>
      <c r="F142" s="3">
        <f>IFERROR(SUMPRODUCT((dataset!$C$2:$C$807=$A142)*dataset!$I$2:$I$807)/SUMPRODUCT((dataset!$C$2:$C$807=$A142)*(dataset!$I$2:$I$807&lt;&gt;"")),"")</f>
        <v/>
      </c>
      <c r="G142" s="3">
        <f>IFERROR(SUMPRODUCT((dataset!$C$2:$C$807=$A142)*dataset!$J$2:$J$807)/SUMPRODUCT((dataset!$C$2:$C$807=$A142)*(dataset!$J$2:$J$807&lt;&gt;"")),"")</f>
        <v/>
      </c>
    </row>
    <row r="143">
      <c r="A143" s="2" t="inlineStr">
        <is>
          <t>Connor Roper</t>
        </is>
      </c>
      <c r="B143" s="2">
        <f>SUMPRODUCT(--(dataset!$C$2:$C$807=$A143))</f>
        <v/>
      </c>
      <c r="C143" s="3">
        <f>SUMPRODUCT((dataset!$C$2:$C$807=$A143)*dataset!$B$2:$B$807)/B143</f>
        <v/>
      </c>
      <c r="D143" s="2">
        <f>_xlfn.MINIFS(dataset!$B$2:$B$807,dataset!$C$2:$C$807,$A143)</f>
        <v/>
      </c>
      <c r="E143" s="2">
        <f>_xlfn.MAXIFS(dataset!$B$2:$B$807,dataset!$C$2:$C$807,$A143)</f>
        <v/>
      </c>
      <c r="F143" s="3">
        <f>IFERROR(SUMPRODUCT((dataset!$C$2:$C$807=$A143)*dataset!$I$2:$I$807)/SUMPRODUCT((dataset!$C$2:$C$807=$A143)*(dataset!$I$2:$I$807&lt;&gt;"")),"")</f>
        <v/>
      </c>
      <c r="G143" s="3">
        <f>IFERROR(SUMPRODUCT((dataset!$C$2:$C$807=$A143)*dataset!$J$2:$J$807)/SUMPRODUCT((dataset!$C$2:$C$807=$A143)*(dataset!$J$2:$J$807&lt;&gt;"")),"")</f>
        <v/>
      </c>
    </row>
    <row r="144">
      <c r="A144" s="2" t="inlineStr">
        <is>
          <t>Cooper Gilbert</t>
        </is>
      </c>
      <c r="B144" s="2">
        <f>SUMPRODUCT(--(dataset!$C$2:$C$807=$A144))</f>
        <v/>
      </c>
      <c r="C144" s="3">
        <f>SUMPRODUCT((dataset!$C$2:$C$807=$A144)*dataset!$B$2:$B$807)/B144</f>
        <v/>
      </c>
      <c r="D144" s="2">
        <f>_xlfn.MINIFS(dataset!$B$2:$B$807,dataset!$C$2:$C$807,$A144)</f>
        <v/>
      </c>
      <c r="E144" s="2">
        <f>_xlfn.MAXIFS(dataset!$B$2:$B$807,dataset!$C$2:$C$807,$A144)</f>
        <v/>
      </c>
      <c r="F144" s="3">
        <f>IFERROR(SUMPRODUCT((dataset!$C$2:$C$807=$A144)*dataset!$I$2:$I$807)/SUMPRODUCT((dataset!$C$2:$C$807=$A144)*(dataset!$I$2:$I$807&lt;&gt;"")),"")</f>
        <v/>
      </c>
      <c r="G144" s="3">
        <f>IFERROR(SUMPRODUCT((dataset!$C$2:$C$807=$A144)*dataset!$J$2:$J$807)/SUMPRODUCT((dataset!$C$2:$C$807=$A144)*(dataset!$J$2:$J$807&lt;&gt;"")),"")</f>
        <v/>
      </c>
    </row>
    <row r="145">
      <c r="A145" s="2" t="inlineStr">
        <is>
          <t>Cori Matney</t>
        </is>
      </c>
      <c r="B145" s="2">
        <f>SUMPRODUCT(--(dataset!$C$2:$C$807=$A145))</f>
        <v/>
      </c>
      <c r="C145" s="3">
        <f>SUMPRODUCT((dataset!$C$2:$C$807=$A145)*dataset!$B$2:$B$807)/B145</f>
        <v/>
      </c>
      <c r="D145" s="2">
        <f>_xlfn.MINIFS(dataset!$B$2:$B$807,dataset!$C$2:$C$807,$A145)</f>
        <v/>
      </c>
      <c r="E145" s="2">
        <f>_xlfn.MAXIFS(dataset!$B$2:$B$807,dataset!$C$2:$C$807,$A145)</f>
        <v/>
      </c>
      <c r="F145" s="3">
        <f>IFERROR(SUMPRODUCT((dataset!$C$2:$C$807=$A145)*dataset!$I$2:$I$807)/SUMPRODUCT((dataset!$C$2:$C$807=$A145)*(dataset!$I$2:$I$807&lt;&gt;"")),"")</f>
        <v/>
      </c>
      <c r="G145" s="3">
        <f>IFERROR(SUMPRODUCT((dataset!$C$2:$C$807=$A145)*dataset!$J$2:$J$807)/SUMPRODUCT((dataset!$C$2:$C$807=$A145)*(dataset!$J$2:$J$807&lt;&gt;"")),"")</f>
        <v/>
      </c>
    </row>
    <row r="146">
      <c r="A146" s="2" t="inlineStr">
        <is>
          <t>Corrie Huddleston</t>
        </is>
      </c>
      <c r="B146" s="2">
        <f>SUMPRODUCT(--(dataset!$C$2:$C$807=$A146))</f>
        <v/>
      </c>
      <c r="C146" s="3">
        <f>SUMPRODUCT((dataset!$C$2:$C$807=$A146)*dataset!$B$2:$B$807)/B146</f>
        <v/>
      </c>
      <c r="D146" s="2">
        <f>_xlfn.MINIFS(dataset!$B$2:$B$807,dataset!$C$2:$C$807,$A146)</f>
        <v/>
      </c>
      <c r="E146" s="2">
        <f>_xlfn.MAXIFS(dataset!$B$2:$B$807,dataset!$C$2:$C$807,$A146)</f>
        <v/>
      </c>
      <c r="F146" s="3">
        <f>IFERROR(SUMPRODUCT((dataset!$C$2:$C$807=$A146)*dataset!$I$2:$I$807)/SUMPRODUCT((dataset!$C$2:$C$807=$A146)*(dataset!$I$2:$I$807&lt;&gt;"")),"")</f>
        <v/>
      </c>
      <c r="G146" s="3">
        <f>IFERROR(SUMPRODUCT((dataset!$C$2:$C$807=$A146)*dataset!$J$2:$J$807)/SUMPRODUCT((dataset!$C$2:$C$807=$A146)*(dataset!$J$2:$J$807&lt;&gt;"")),"")</f>
        <v/>
      </c>
    </row>
    <row r="147">
      <c r="A147" s="2" t="inlineStr">
        <is>
          <t>CrystalKat14</t>
        </is>
      </c>
      <c r="B147" s="2">
        <f>SUMPRODUCT(--(dataset!$C$2:$C$807=$A147))</f>
        <v/>
      </c>
      <c r="C147" s="3">
        <f>SUMPRODUCT((dataset!$C$2:$C$807=$A147)*dataset!$B$2:$B$807)/B147</f>
        <v/>
      </c>
      <c r="D147" s="2">
        <f>_xlfn.MINIFS(dataset!$B$2:$B$807,dataset!$C$2:$C$807,$A147)</f>
        <v/>
      </c>
      <c r="E147" s="2">
        <f>_xlfn.MAXIFS(dataset!$B$2:$B$807,dataset!$C$2:$C$807,$A147)</f>
        <v/>
      </c>
      <c r="F147" s="3">
        <f>IFERROR(SUMPRODUCT((dataset!$C$2:$C$807=$A147)*dataset!$I$2:$I$807)/SUMPRODUCT((dataset!$C$2:$C$807=$A147)*(dataset!$I$2:$I$807&lt;&gt;"")),"")</f>
        <v/>
      </c>
      <c r="G147" s="3">
        <f>IFERROR(SUMPRODUCT((dataset!$C$2:$C$807=$A147)*dataset!$J$2:$J$807)/SUMPRODUCT((dataset!$C$2:$C$807=$A147)*(dataset!$J$2:$J$807&lt;&gt;"")),"")</f>
        <v/>
      </c>
    </row>
    <row r="148">
      <c r="A148" s="2" t="inlineStr">
        <is>
          <t>Cécile Chaminade</t>
        </is>
      </c>
      <c r="B148" s="2">
        <f>SUMPRODUCT(--(dataset!$C$2:$C$807=$A148))</f>
        <v/>
      </c>
      <c r="C148" s="3">
        <f>SUMPRODUCT((dataset!$C$2:$C$807=$A148)*dataset!$B$2:$B$807)/B148</f>
        <v/>
      </c>
      <c r="D148" s="2">
        <f>_xlfn.MINIFS(dataset!$B$2:$B$807,dataset!$C$2:$C$807,$A148)</f>
        <v/>
      </c>
      <c r="E148" s="2">
        <f>_xlfn.MAXIFS(dataset!$B$2:$B$807,dataset!$C$2:$C$807,$A148)</f>
        <v/>
      </c>
      <c r="F148" s="3">
        <f>IFERROR(SUMPRODUCT((dataset!$C$2:$C$807=$A148)*dataset!$I$2:$I$807)/SUMPRODUCT((dataset!$C$2:$C$807=$A148)*(dataset!$I$2:$I$807&lt;&gt;"")),"")</f>
        <v/>
      </c>
      <c r="G148" s="3">
        <f>IFERROR(SUMPRODUCT((dataset!$C$2:$C$807=$A148)*dataset!$J$2:$J$807)/SUMPRODUCT((dataset!$C$2:$C$807=$A148)*(dataset!$J$2:$J$807&lt;&gt;"")),"")</f>
        <v/>
      </c>
    </row>
    <row r="149">
      <c r="A149" s="2" t="inlineStr">
        <is>
          <t>D-Block &amp; S-te-Fan</t>
        </is>
      </c>
      <c r="B149" s="2">
        <f>SUMPRODUCT(--(dataset!$C$2:$C$807=$A149))</f>
        <v/>
      </c>
      <c r="C149" s="3">
        <f>SUMPRODUCT((dataset!$C$2:$C$807=$A149)*dataset!$B$2:$B$807)/B149</f>
        <v/>
      </c>
      <c r="D149" s="2">
        <f>_xlfn.MINIFS(dataset!$B$2:$B$807,dataset!$C$2:$C$807,$A149)</f>
        <v/>
      </c>
      <c r="E149" s="2">
        <f>_xlfn.MAXIFS(dataset!$B$2:$B$807,dataset!$C$2:$C$807,$A149)</f>
        <v/>
      </c>
      <c r="F149" s="3">
        <f>IFERROR(SUMPRODUCT((dataset!$C$2:$C$807=$A149)*dataset!$I$2:$I$807)/SUMPRODUCT((dataset!$C$2:$C$807=$A149)*(dataset!$I$2:$I$807&lt;&gt;"")),"")</f>
        <v/>
      </c>
      <c r="G149" s="3">
        <f>IFERROR(SUMPRODUCT((dataset!$C$2:$C$807=$A149)*dataset!$J$2:$J$807)/SUMPRODUCT((dataset!$C$2:$C$807=$A149)*(dataset!$J$2:$J$807&lt;&gt;"")),"")</f>
        <v/>
      </c>
    </row>
    <row r="150">
      <c r="A150" s="2" t="inlineStr">
        <is>
          <t>D. Kapeliush</t>
        </is>
      </c>
      <c r="B150" s="2">
        <f>SUMPRODUCT(--(dataset!$C$2:$C$807=$A150))</f>
        <v/>
      </c>
      <c r="C150" s="3">
        <f>SUMPRODUCT((dataset!$C$2:$C$807=$A150)*dataset!$B$2:$B$807)/B150</f>
        <v/>
      </c>
      <c r="D150" s="2">
        <f>_xlfn.MINIFS(dataset!$B$2:$B$807,dataset!$C$2:$C$807,$A150)</f>
        <v/>
      </c>
      <c r="E150" s="2">
        <f>_xlfn.MAXIFS(dataset!$B$2:$B$807,dataset!$C$2:$C$807,$A150)</f>
        <v/>
      </c>
      <c r="F150" s="3">
        <f>IFERROR(SUMPRODUCT((dataset!$C$2:$C$807=$A150)*dataset!$I$2:$I$807)/SUMPRODUCT((dataset!$C$2:$C$807=$A150)*(dataset!$I$2:$I$807&lt;&gt;"")),"")</f>
        <v/>
      </c>
      <c r="G150" s="3">
        <f>IFERROR(SUMPRODUCT((dataset!$C$2:$C$807=$A150)*dataset!$J$2:$J$807)/SUMPRODUCT((dataset!$C$2:$C$807=$A150)*(dataset!$J$2:$J$807&lt;&gt;"")),"")</f>
        <v/>
      </c>
    </row>
    <row r="151">
      <c r="A151" s="2" t="inlineStr">
        <is>
          <t>DaKook</t>
        </is>
      </c>
      <c r="B151" s="2">
        <f>SUMPRODUCT(--(dataset!$C$2:$C$807=$A151))</f>
        <v/>
      </c>
      <c r="C151" s="3">
        <f>SUMPRODUCT((dataset!$C$2:$C$807=$A151)*dataset!$B$2:$B$807)/B151</f>
        <v/>
      </c>
      <c r="D151" s="2">
        <f>_xlfn.MINIFS(dataset!$B$2:$B$807,dataset!$C$2:$C$807,$A151)</f>
        <v/>
      </c>
      <c r="E151" s="2">
        <f>_xlfn.MAXIFS(dataset!$B$2:$B$807,dataset!$C$2:$C$807,$A151)</f>
        <v/>
      </c>
      <c r="F151" s="3">
        <f>IFERROR(SUMPRODUCT((dataset!$C$2:$C$807=$A151)*dataset!$I$2:$I$807)/SUMPRODUCT((dataset!$C$2:$C$807=$A151)*(dataset!$I$2:$I$807&lt;&gt;"")),"")</f>
        <v/>
      </c>
      <c r="G151" s="3">
        <f>IFERROR(SUMPRODUCT((dataset!$C$2:$C$807=$A151)*dataset!$J$2:$J$807)/SUMPRODUCT((dataset!$C$2:$C$807=$A151)*(dataset!$J$2:$J$807&lt;&gt;"")),"")</f>
        <v/>
      </c>
    </row>
    <row r="152">
      <c r="A152" s="2" t="inlineStr">
        <is>
          <t>Damien Gauci</t>
        </is>
      </c>
      <c r="B152" s="2">
        <f>SUMPRODUCT(--(dataset!$C$2:$C$807=$A152))</f>
        <v/>
      </c>
      <c r="C152" s="3">
        <f>SUMPRODUCT((dataset!$C$2:$C$807=$A152)*dataset!$B$2:$B$807)/B152</f>
        <v/>
      </c>
      <c r="D152" s="2">
        <f>_xlfn.MINIFS(dataset!$B$2:$B$807,dataset!$C$2:$C$807,$A152)</f>
        <v/>
      </c>
      <c r="E152" s="2">
        <f>_xlfn.MAXIFS(dataset!$B$2:$B$807,dataset!$C$2:$C$807,$A152)</f>
        <v/>
      </c>
      <c r="F152" s="3">
        <f>IFERROR(SUMPRODUCT((dataset!$C$2:$C$807=$A152)*dataset!$I$2:$I$807)/SUMPRODUCT((dataset!$C$2:$C$807=$A152)*(dataset!$I$2:$I$807&lt;&gt;"")),"")</f>
        <v/>
      </c>
      <c r="G152" s="3">
        <f>IFERROR(SUMPRODUCT((dataset!$C$2:$C$807=$A152)*dataset!$J$2:$J$807)/SUMPRODUCT((dataset!$C$2:$C$807=$A152)*(dataset!$J$2:$J$807&lt;&gt;"")),"")</f>
        <v/>
      </c>
    </row>
    <row r="153">
      <c r="A153" s="2" t="inlineStr">
        <is>
          <t>Dan Caslar</t>
        </is>
      </c>
      <c r="B153" s="2">
        <f>SUMPRODUCT(--(dataset!$C$2:$C$807=$A153))</f>
        <v/>
      </c>
      <c r="C153" s="3">
        <f>SUMPRODUCT((dataset!$C$2:$C$807=$A153)*dataset!$B$2:$B$807)/B153</f>
        <v/>
      </c>
      <c r="D153" s="2">
        <f>_xlfn.MINIFS(dataset!$B$2:$B$807,dataset!$C$2:$C$807,$A153)</f>
        <v/>
      </c>
      <c r="E153" s="2">
        <f>_xlfn.MAXIFS(dataset!$B$2:$B$807,dataset!$C$2:$C$807,$A153)</f>
        <v/>
      </c>
      <c r="F153" s="3">
        <f>IFERROR(SUMPRODUCT((dataset!$C$2:$C$807=$A153)*dataset!$I$2:$I$807)/SUMPRODUCT((dataset!$C$2:$C$807=$A153)*(dataset!$I$2:$I$807&lt;&gt;"")),"")</f>
        <v/>
      </c>
      <c r="G153" s="3">
        <f>IFERROR(SUMPRODUCT((dataset!$C$2:$C$807=$A153)*dataset!$J$2:$J$807)/SUMPRODUCT((dataset!$C$2:$C$807=$A153)*(dataset!$J$2:$J$807&lt;&gt;"")),"")</f>
        <v/>
      </c>
    </row>
    <row r="154">
      <c r="A154" s="2" t="inlineStr">
        <is>
          <t>Dan Romer</t>
        </is>
      </c>
      <c r="B154" s="2">
        <f>SUMPRODUCT(--(dataset!$C$2:$C$807=$A154))</f>
        <v/>
      </c>
      <c r="C154" s="3">
        <f>SUMPRODUCT((dataset!$C$2:$C$807=$A154)*dataset!$B$2:$B$807)/B154</f>
        <v/>
      </c>
      <c r="D154" s="2">
        <f>_xlfn.MINIFS(dataset!$B$2:$B$807,dataset!$C$2:$C$807,$A154)</f>
        <v/>
      </c>
      <c r="E154" s="2">
        <f>_xlfn.MAXIFS(dataset!$B$2:$B$807,dataset!$C$2:$C$807,$A154)</f>
        <v/>
      </c>
      <c r="F154" s="3">
        <f>IFERROR(SUMPRODUCT((dataset!$C$2:$C$807=$A154)*dataset!$I$2:$I$807)/SUMPRODUCT((dataset!$C$2:$C$807=$A154)*(dataset!$I$2:$I$807&lt;&gt;"")),"")</f>
        <v/>
      </c>
      <c r="G154" s="3">
        <f>IFERROR(SUMPRODUCT((dataset!$C$2:$C$807=$A154)*dataset!$J$2:$J$807)/SUMPRODUCT((dataset!$C$2:$C$807=$A154)*(dataset!$J$2:$J$807&lt;&gt;"")),"")</f>
        <v/>
      </c>
    </row>
    <row r="155">
      <c r="A155" s="2" t="inlineStr">
        <is>
          <t>Dang Tung Long</t>
        </is>
      </c>
      <c r="B155" s="2">
        <f>SUMPRODUCT(--(dataset!$C$2:$C$807=$A155))</f>
        <v/>
      </c>
      <c r="C155" s="3">
        <f>SUMPRODUCT((dataset!$C$2:$C$807=$A155)*dataset!$B$2:$B$807)/B155</f>
        <v/>
      </c>
      <c r="D155" s="2">
        <f>_xlfn.MINIFS(dataset!$B$2:$B$807,dataset!$C$2:$C$807,$A155)</f>
        <v/>
      </c>
      <c r="E155" s="2">
        <f>_xlfn.MAXIFS(dataset!$B$2:$B$807,dataset!$C$2:$C$807,$A155)</f>
        <v/>
      </c>
      <c r="F155" s="3">
        <f>IFERROR(SUMPRODUCT((dataset!$C$2:$C$807=$A155)*dataset!$I$2:$I$807)/SUMPRODUCT((dataset!$C$2:$C$807=$A155)*(dataset!$I$2:$I$807&lt;&gt;"")),"")</f>
        <v/>
      </c>
      <c r="G155" s="3">
        <f>IFERROR(SUMPRODUCT((dataset!$C$2:$C$807=$A155)*dataset!$J$2:$J$807)/SUMPRODUCT((dataset!$C$2:$C$807=$A155)*(dataset!$J$2:$J$807&lt;&gt;"")),"")</f>
        <v/>
      </c>
    </row>
    <row r="156">
      <c r="A156" s="2" t="inlineStr">
        <is>
          <t>Daniel Gottlob Türk</t>
        </is>
      </c>
      <c r="B156" s="2">
        <f>SUMPRODUCT(--(dataset!$C$2:$C$807=$A156))</f>
        <v/>
      </c>
      <c r="C156" s="3">
        <f>SUMPRODUCT((dataset!$C$2:$C$807=$A156)*dataset!$B$2:$B$807)/B156</f>
        <v/>
      </c>
      <c r="D156" s="2">
        <f>_xlfn.MINIFS(dataset!$B$2:$B$807,dataset!$C$2:$C$807,$A156)</f>
        <v/>
      </c>
      <c r="E156" s="2">
        <f>_xlfn.MAXIFS(dataset!$B$2:$B$807,dataset!$C$2:$C$807,$A156)</f>
        <v/>
      </c>
      <c r="F156" s="3">
        <f>IFERROR(SUMPRODUCT((dataset!$C$2:$C$807=$A156)*dataset!$I$2:$I$807)/SUMPRODUCT((dataset!$C$2:$C$807=$A156)*(dataset!$I$2:$I$807&lt;&gt;"")),"")</f>
        <v/>
      </c>
      <c r="G156" s="3">
        <f>IFERROR(SUMPRODUCT((dataset!$C$2:$C$807=$A156)*dataset!$J$2:$J$807)/SUMPRODUCT((dataset!$C$2:$C$807=$A156)*(dataset!$J$2:$J$807&lt;&gt;"")),"")</f>
        <v/>
      </c>
    </row>
    <row r="157">
      <c r="A157" s="2" t="inlineStr">
        <is>
          <t>Daniel Szelogowski</t>
        </is>
      </c>
      <c r="B157" s="2">
        <f>SUMPRODUCT(--(dataset!$C$2:$C$807=$A157))</f>
        <v/>
      </c>
      <c r="C157" s="3">
        <f>SUMPRODUCT((dataset!$C$2:$C$807=$A157)*dataset!$B$2:$B$807)/B157</f>
        <v/>
      </c>
      <c r="D157" s="2">
        <f>_xlfn.MINIFS(dataset!$B$2:$B$807,dataset!$C$2:$C$807,$A157)</f>
        <v/>
      </c>
      <c r="E157" s="2">
        <f>_xlfn.MAXIFS(dataset!$B$2:$B$807,dataset!$C$2:$C$807,$A157)</f>
        <v/>
      </c>
      <c r="F157" s="3">
        <f>IFERROR(SUMPRODUCT((dataset!$C$2:$C$807=$A157)*dataset!$I$2:$I$807)/SUMPRODUCT((dataset!$C$2:$C$807=$A157)*(dataset!$I$2:$I$807&lt;&gt;"")),"")</f>
        <v/>
      </c>
      <c r="G157" s="3">
        <f>IFERROR(SUMPRODUCT((dataset!$C$2:$C$807=$A157)*dataset!$J$2:$J$807)/SUMPRODUCT((dataset!$C$2:$C$807=$A157)*(dataset!$J$2:$J$807&lt;&gt;"")),"")</f>
        <v/>
      </c>
    </row>
    <row r="158">
      <c r="A158" s="2" t="inlineStr">
        <is>
          <t>Danny Daglas</t>
        </is>
      </c>
      <c r="B158" s="2">
        <f>SUMPRODUCT(--(dataset!$C$2:$C$807=$A158))</f>
        <v/>
      </c>
      <c r="C158" s="3">
        <f>SUMPRODUCT((dataset!$C$2:$C$807=$A158)*dataset!$B$2:$B$807)/B158</f>
        <v/>
      </c>
      <c r="D158" s="2">
        <f>_xlfn.MINIFS(dataset!$B$2:$B$807,dataset!$C$2:$C$807,$A158)</f>
        <v/>
      </c>
      <c r="E158" s="2">
        <f>_xlfn.MAXIFS(dataset!$B$2:$B$807,dataset!$C$2:$C$807,$A158)</f>
        <v/>
      </c>
      <c r="F158" s="3">
        <f>IFERROR(SUMPRODUCT((dataset!$C$2:$C$807=$A158)*dataset!$I$2:$I$807)/SUMPRODUCT((dataset!$C$2:$C$807=$A158)*(dataset!$I$2:$I$807&lt;&gt;"")),"")</f>
        <v/>
      </c>
      <c r="G158" s="3">
        <f>IFERROR(SUMPRODUCT((dataset!$C$2:$C$807=$A158)*dataset!$J$2:$J$807)/SUMPRODUCT((dataset!$C$2:$C$807=$A158)*(dataset!$J$2:$J$807&lt;&gt;"")),"")</f>
        <v/>
      </c>
    </row>
    <row r="159">
      <c r="A159" s="2" t="inlineStr">
        <is>
          <t>David Arnold</t>
        </is>
      </c>
      <c r="B159" s="2">
        <f>SUMPRODUCT(--(dataset!$C$2:$C$807=$A159))</f>
        <v/>
      </c>
      <c r="C159" s="3">
        <f>SUMPRODUCT((dataset!$C$2:$C$807=$A159)*dataset!$B$2:$B$807)/B159</f>
        <v/>
      </c>
      <c r="D159" s="2">
        <f>_xlfn.MINIFS(dataset!$B$2:$B$807,dataset!$C$2:$C$807,$A159)</f>
        <v/>
      </c>
      <c r="E159" s="2">
        <f>_xlfn.MAXIFS(dataset!$B$2:$B$807,dataset!$C$2:$C$807,$A159)</f>
        <v/>
      </c>
      <c r="F159" s="3">
        <f>IFERROR(SUMPRODUCT((dataset!$C$2:$C$807=$A159)*dataset!$I$2:$I$807)/SUMPRODUCT((dataset!$C$2:$C$807=$A159)*(dataset!$I$2:$I$807&lt;&gt;"")),"")</f>
        <v/>
      </c>
      <c r="G159" s="3">
        <f>IFERROR(SUMPRODUCT((dataset!$C$2:$C$807=$A159)*dataset!$J$2:$J$807)/SUMPRODUCT((dataset!$C$2:$C$807=$A159)*(dataset!$J$2:$J$807&lt;&gt;"")),"")</f>
        <v/>
      </c>
    </row>
    <row r="160">
      <c r="A160" s="2" t="inlineStr">
        <is>
          <t>David Caetano</t>
        </is>
      </c>
      <c r="B160" s="2">
        <f>SUMPRODUCT(--(dataset!$C$2:$C$807=$A160))</f>
        <v/>
      </c>
      <c r="C160" s="3">
        <f>SUMPRODUCT((dataset!$C$2:$C$807=$A160)*dataset!$B$2:$B$807)/B160</f>
        <v/>
      </c>
      <c r="D160" s="2">
        <f>_xlfn.MINIFS(dataset!$B$2:$B$807,dataset!$C$2:$C$807,$A160)</f>
        <v/>
      </c>
      <c r="E160" s="2">
        <f>_xlfn.MAXIFS(dataset!$B$2:$B$807,dataset!$C$2:$C$807,$A160)</f>
        <v/>
      </c>
      <c r="F160" s="3">
        <f>IFERROR(SUMPRODUCT((dataset!$C$2:$C$807=$A160)*dataset!$I$2:$I$807)/SUMPRODUCT((dataset!$C$2:$C$807=$A160)*(dataset!$I$2:$I$807&lt;&gt;"")),"")</f>
        <v/>
      </c>
      <c r="G160" s="3">
        <f>IFERROR(SUMPRODUCT((dataset!$C$2:$C$807=$A160)*dataset!$J$2:$J$807)/SUMPRODUCT((dataset!$C$2:$C$807=$A160)*(dataset!$J$2:$J$807&lt;&gt;"")),"")</f>
        <v/>
      </c>
    </row>
    <row r="161">
      <c r="A161" s="2" t="inlineStr">
        <is>
          <t>David Charlier</t>
        </is>
      </c>
      <c r="B161" s="2">
        <f>SUMPRODUCT(--(dataset!$C$2:$C$807=$A161))</f>
        <v/>
      </c>
      <c r="C161" s="3">
        <f>SUMPRODUCT((dataset!$C$2:$C$807=$A161)*dataset!$B$2:$B$807)/B161</f>
        <v/>
      </c>
      <c r="D161" s="2">
        <f>_xlfn.MINIFS(dataset!$B$2:$B$807,dataset!$C$2:$C$807,$A161)</f>
        <v/>
      </c>
      <c r="E161" s="2">
        <f>_xlfn.MAXIFS(dataset!$B$2:$B$807,dataset!$C$2:$C$807,$A161)</f>
        <v/>
      </c>
      <c r="F161" s="3">
        <f>IFERROR(SUMPRODUCT((dataset!$C$2:$C$807=$A161)*dataset!$I$2:$I$807)/SUMPRODUCT((dataset!$C$2:$C$807=$A161)*(dataset!$I$2:$I$807&lt;&gt;"")),"")</f>
        <v/>
      </c>
      <c r="G161" s="3">
        <f>IFERROR(SUMPRODUCT((dataset!$C$2:$C$807=$A161)*dataset!$J$2:$J$807)/SUMPRODUCT((dataset!$C$2:$C$807=$A161)*(dataset!$J$2:$J$807&lt;&gt;"")),"")</f>
        <v/>
      </c>
    </row>
    <row r="162">
      <c r="A162" s="2" t="inlineStr">
        <is>
          <t>David Fenn</t>
        </is>
      </c>
      <c r="B162" s="2">
        <f>SUMPRODUCT(--(dataset!$C$2:$C$807=$A162))</f>
        <v/>
      </c>
      <c r="C162" s="3">
        <f>SUMPRODUCT((dataset!$C$2:$C$807=$A162)*dataset!$B$2:$B$807)/B162</f>
        <v/>
      </c>
      <c r="D162" s="2">
        <f>_xlfn.MINIFS(dataset!$B$2:$B$807,dataset!$C$2:$C$807,$A162)</f>
        <v/>
      </c>
      <c r="E162" s="2">
        <f>_xlfn.MAXIFS(dataset!$B$2:$B$807,dataset!$C$2:$C$807,$A162)</f>
        <v/>
      </c>
      <c r="F162" s="3">
        <f>IFERROR(SUMPRODUCT((dataset!$C$2:$C$807=$A162)*dataset!$I$2:$I$807)/SUMPRODUCT((dataset!$C$2:$C$807=$A162)*(dataset!$I$2:$I$807&lt;&gt;"")),"")</f>
        <v/>
      </c>
      <c r="G162" s="3">
        <f>IFERROR(SUMPRODUCT((dataset!$C$2:$C$807=$A162)*dataset!$J$2:$J$807)/SUMPRODUCT((dataset!$C$2:$C$807=$A162)*(dataset!$J$2:$J$807&lt;&gt;"")),"")</f>
        <v/>
      </c>
    </row>
    <row r="163">
      <c r="A163" s="2" t="inlineStr">
        <is>
          <t>David Lanz</t>
        </is>
      </c>
      <c r="B163" s="2">
        <f>SUMPRODUCT(--(dataset!$C$2:$C$807=$A163))</f>
        <v/>
      </c>
      <c r="C163" s="3">
        <f>SUMPRODUCT((dataset!$C$2:$C$807=$A163)*dataset!$B$2:$B$807)/B163</f>
        <v/>
      </c>
      <c r="D163" s="2">
        <f>_xlfn.MINIFS(dataset!$B$2:$B$807,dataset!$C$2:$C$807,$A163)</f>
        <v/>
      </c>
      <c r="E163" s="2">
        <f>_xlfn.MAXIFS(dataset!$B$2:$B$807,dataset!$C$2:$C$807,$A163)</f>
        <v/>
      </c>
      <c r="F163" s="3">
        <f>IFERROR(SUMPRODUCT((dataset!$C$2:$C$807=$A163)*dataset!$I$2:$I$807)/SUMPRODUCT((dataset!$C$2:$C$807=$A163)*(dataset!$I$2:$I$807&lt;&gt;"")),"")</f>
        <v/>
      </c>
      <c r="G163" s="3">
        <f>IFERROR(SUMPRODUCT((dataset!$C$2:$C$807=$A163)*dataset!$J$2:$J$807)/SUMPRODUCT((dataset!$C$2:$C$807=$A163)*(dataset!$J$2:$J$807&lt;&gt;"")),"")</f>
        <v/>
      </c>
    </row>
    <row r="164">
      <c r="A164" s="2" t="inlineStr">
        <is>
          <t>David Taylor Gomes</t>
        </is>
      </c>
      <c r="B164" s="2">
        <f>SUMPRODUCT(--(dataset!$C$2:$C$807=$A164))</f>
        <v/>
      </c>
      <c r="C164" s="3">
        <f>SUMPRODUCT((dataset!$C$2:$C$807=$A164)*dataset!$B$2:$B$807)/B164</f>
        <v/>
      </c>
      <c r="D164" s="2">
        <f>_xlfn.MINIFS(dataset!$B$2:$B$807,dataset!$C$2:$C$807,$A164)</f>
        <v/>
      </c>
      <c r="E164" s="2">
        <f>_xlfn.MAXIFS(dataset!$B$2:$B$807,dataset!$C$2:$C$807,$A164)</f>
        <v/>
      </c>
      <c r="F164" s="3">
        <f>IFERROR(SUMPRODUCT((dataset!$C$2:$C$807=$A164)*dataset!$I$2:$I$807)/SUMPRODUCT((dataset!$C$2:$C$807=$A164)*(dataset!$I$2:$I$807&lt;&gt;"")),"")</f>
        <v/>
      </c>
      <c r="G164" s="3">
        <f>IFERROR(SUMPRODUCT((dataset!$C$2:$C$807=$A164)*dataset!$J$2:$J$807)/SUMPRODUCT((dataset!$C$2:$C$807=$A164)*(dataset!$J$2:$J$807&lt;&gt;"")),"")</f>
        <v/>
      </c>
    </row>
    <row r="165">
      <c r="A165" s="2" t="inlineStr">
        <is>
          <t>David W. Guion</t>
        </is>
      </c>
      <c r="B165" s="2">
        <f>SUMPRODUCT(--(dataset!$C$2:$C$807=$A165))</f>
        <v/>
      </c>
      <c r="C165" s="3">
        <f>SUMPRODUCT((dataset!$C$2:$C$807=$A165)*dataset!$B$2:$B$807)/B165</f>
        <v/>
      </c>
      <c r="D165" s="2">
        <f>_xlfn.MINIFS(dataset!$B$2:$B$807,dataset!$C$2:$C$807,$A165)</f>
        <v/>
      </c>
      <c r="E165" s="2">
        <f>_xlfn.MAXIFS(dataset!$B$2:$B$807,dataset!$C$2:$C$807,$A165)</f>
        <v/>
      </c>
      <c r="F165" s="3">
        <f>IFERROR(SUMPRODUCT((dataset!$C$2:$C$807=$A165)*dataset!$I$2:$I$807)/SUMPRODUCT((dataset!$C$2:$C$807=$A165)*(dataset!$I$2:$I$807&lt;&gt;"")),"")</f>
        <v/>
      </c>
      <c r="G165" s="3">
        <f>IFERROR(SUMPRODUCT((dataset!$C$2:$C$807=$A165)*dataset!$J$2:$J$807)/SUMPRODUCT((dataset!$C$2:$C$807=$A165)*(dataset!$J$2:$J$807&lt;&gt;"")),"")</f>
        <v/>
      </c>
    </row>
    <row r="166">
      <c r="A166" s="2" t="inlineStr">
        <is>
          <t>Dazzyls</t>
        </is>
      </c>
      <c r="B166" s="2">
        <f>SUMPRODUCT(--(dataset!$C$2:$C$807=$A166))</f>
        <v/>
      </c>
      <c r="C166" s="3">
        <f>SUMPRODUCT((dataset!$C$2:$C$807=$A166)*dataset!$B$2:$B$807)/B166</f>
        <v/>
      </c>
      <c r="D166" s="2">
        <f>_xlfn.MINIFS(dataset!$B$2:$B$807,dataset!$C$2:$C$807,$A166)</f>
        <v/>
      </c>
      <c r="E166" s="2">
        <f>_xlfn.MAXIFS(dataset!$B$2:$B$807,dataset!$C$2:$C$807,$A166)</f>
        <v/>
      </c>
      <c r="F166" s="3">
        <f>IFERROR(SUMPRODUCT((dataset!$C$2:$C$807=$A166)*dataset!$I$2:$I$807)/SUMPRODUCT((dataset!$C$2:$C$807=$A166)*(dataset!$I$2:$I$807&lt;&gt;"")),"")</f>
        <v/>
      </c>
      <c r="G166" s="3">
        <f>IFERROR(SUMPRODUCT((dataset!$C$2:$C$807=$A166)*dataset!$J$2:$J$807)/SUMPRODUCT((dataset!$C$2:$C$807=$A166)*(dataset!$J$2:$J$807&lt;&gt;"")),"")</f>
        <v/>
      </c>
    </row>
    <row r="167">
      <c r="A167" s="2" t="inlineStr">
        <is>
          <t>DeDuck</t>
        </is>
      </c>
      <c r="B167" s="2">
        <f>SUMPRODUCT(--(dataset!$C$2:$C$807=$A167))</f>
        <v/>
      </c>
      <c r="C167" s="3">
        <f>SUMPRODUCT((dataset!$C$2:$C$807=$A167)*dataset!$B$2:$B$807)/B167</f>
        <v/>
      </c>
      <c r="D167" s="2">
        <f>_xlfn.MINIFS(dataset!$B$2:$B$807,dataset!$C$2:$C$807,$A167)</f>
        <v/>
      </c>
      <c r="E167" s="2">
        <f>_xlfn.MAXIFS(dataset!$B$2:$B$807,dataset!$C$2:$C$807,$A167)</f>
        <v/>
      </c>
      <c r="F167" s="3">
        <f>IFERROR(SUMPRODUCT((dataset!$C$2:$C$807=$A167)*dataset!$I$2:$I$807)/SUMPRODUCT((dataset!$C$2:$C$807=$A167)*(dataset!$I$2:$I$807&lt;&gt;"")),"")</f>
        <v/>
      </c>
      <c r="G167" s="3">
        <f>IFERROR(SUMPRODUCT((dataset!$C$2:$C$807=$A167)*dataset!$J$2:$J$807)/SUMPRODUCT((dataset!$C$2:$C$807=$A167)*(dataset!$J$2:$J$807&lt;&gt;"")),"")</f>
        <v/>
      </c>
    </row>
    <row r="168">
      <c r="A168" s="2" t="inlineStr">
        <is>
          <t>Dianna Smith</t>
        </is>
      </c>
      <c r="B168" s="2">
        <f>SUMPRODUCT(--(dataset!$C$2:$C$807=$A168))</f>
        <v/>
      </c>
      <c r="C168" s="3">
        <f>SUMPRODUCT((dataset!$C$2:$C$807=$A168)*dataset!$B$2:$B$807)/B168</f>
        <v/>
      </c>
      <c r="D168" s="2">
        <f>_xlfn.MINIFS(dataset!$B$2:$B$807,dataset!$C$2:$C$807,$A168)</f>
        <v/>
      </c>
      <c r="E168" s="2">
        <f>_xlfn.MAXIFS(dataset!$B$2:$B$807,dataset!$C$2:$C$807,$A168)</f>
        <v/>
      </c>
      <c r="F168" s="3">
        <f>IFERROR(SUMPRODUCT((dataset!$C$2:$C$807=$A168)*dataset!$I$2:$I$807)/SUMPRODUCT((dataset!$C$2:$C$807=$A168)*(dataset!$I$2:$I$807&lt;&gt;"")),"")</f>
        <v/>
      </c>
      <c r="G168" s="3">
        <f>IFERROR(SUMPRODUCT((dataset!$C$2:$C$807=$A168)*dataset!$J$2:$J$807)/SUMPRODUCT((dataset!$C$2:$C$807=$A168)*(dataset!$J$2:$J$807&lt;&gt;"")),"")</f>
        <v/>
      </c>
    </row>
    <row r="169">
      <c r="A169" s="2" t="inlineStr">
        <is>
          <t>Dizzy Gillespie</t>
        </is>
      </c>
      <c r="B169" s="2">
        <f>SUMPRODUCT(--(dataset!$C$2:$C$807=$A169))</f>
        <v/>
      </c>
      <c r="C169" s="3">
        <f>SUMPRODUCT((dataset!$C$2:$C$807=$A169)*dataset!$B$2:$B$807)/B169</f>
        <v/>
      </c>
      <c r="D169" s="2">
        <f>_xlfn.MINIFS(dataset!$B$2:$B$807,dataset!$C$2:$C$807,$A169)</f>
        <v/>
      </c>
      <c r="E169" s="2">
        <f>_xlfn.MAXIFS(dataset!$B$2:$B$807,dataset!$C$2:$C$807,$A169)</f>
        <v/>
      </c>
      <c r="F169" s="3">
        <f>IFERROR(SUMPRODUCT((dataset!$C$2:$C$807=$A169)*dataset!$I$2:$I$807)/SUMPRODUCT((dataset!$C$2:$C$807=$A169)*(dataset!$I$2:$I$807&lt;&gt;"")),"")</f>
        <v/>
      </c>
      <c r="G169" s="3">
        <f>IFERROR(SUMPRODUCT((dataset!$C$2:$C$807=$A169)*dataset!$J$2:$J$807)/SUMPRODUCT((dataset!$C$2:$C$807=$A169)*(dataset!$J$2:$J$807&lt;&gt;"")),"")</f>
        <v/>
      </c>
    </row>
    <row r="170">
      <c r="A170" s="2" t="inlineStr">
        <is>
          <t>DJ Totto</t>
        </is>
      </c>
      <c r="B170" s="2">
        <f>SUMPRODUCT(--(dataset!$C$2:$C$807=$A170))</f>
        <v/>
      </c>
      <c r="C170" s="3">
        <f>SUMPRODUCT((dataset!$C$2:$C$807=$A170)*dataset!$B$2:$B$807)/B170</f>
        <v/>
      </c>
      <c r="D170" s="2">
        <f>_xlfn.MINIFS(dataset!$B$2:$B$807,dataset!$C$2:$C$807,$A170)</f>
        <v/>
      </c>
      <c r="E170" s="2">
        <f>_xlfn.MAXIFS(dataset!$B$2:$B$807,dataset!$C$2:$C$807,$A170)</f>
        <v/>
      </c>
      <c r="F170" s="3">
        <f>IFERROR(SUMPRODUCT((dataset!$C$2:$C$807=$A170)*dataset!$I$2:$I$807)/SUMPRODUCT((dataset!$C$2:$C$807=$A170)*(dataset!$I$2:$I$807&lt;&gt;"")),"")</f>
        <v/>
      </c>
      <c r="G170" s="3">
        <f>IFERROR(SUMPRODUCT((dataset!$C$2:$C$807=$A170)*dataset!$J$2:$J$807)/SUMPRODUCT((dataset!$C$2:$C$807=$A170)*(dataset!$J$2:$J$807&lt;&gt;"")),"")</f>
        <v/>
      </c>
    </row>
    <row r="171">
      <c r="A171" s="2" t="inlineStr">
        <is>
          <t>Dominic Schmid</t>
        </is>
      </c>
      <c r="B171" s="2">
        <f>SUMPRODUCT(--(dataset!$C$2:$C$807=$A171))</f>
        <v/>
      </c>
      <c r="C171" s="3">
        <f>SUMPRODUCT((dataset!$C$2:$C$807=$A171)*dataset!$B$2:$B$807)/B171</f>
        <v/>
      </c>
      <c r="D171" s="2">
        <f>_xlfn.MINIFS(dataset!$B$2:$B$807,dataset!$C$2:$C$807,$A171)</f>
        <v/>
      </c>
      <c r="E171" s="2">
        <f>_xlfn.MAXIFS(dataset!$B$2:$B$807,dataset!$C$2:$C$807,$A171)</f>
        <v/>
      </c>
      <c r="F171" s="3">
        <f>IFERROR(SUMPRODUCT((dataset!$C$2:$C$807=$A171)*dataset!$I$2:$I$807)/SUMPRODUCT((dataset!$C$2:$C$807=$A171)*(dataset!$I$2:$I$807&lt;&gt;"")),"")</f>
        <v/>
      </c>
      <c r="G171" s="3">
        <f>IFERROR(SUMPRODUCT((dataset!$C$2:$C$807=$A171)*dataset!$J$2:$J$807)/SUMPRODUCT((dataset!$C$2:$C$807=$A171)*(dataset!$J$2:$J$807&lt;&gt;"")),"")</f>
        <v/>
      </c>
    </row>
    <row r="172">
      <c r="A172" s="2" t="inlineStr">
        <is>
          <t>Dylan Simons</t>
        </is>
      </c>
      <c r="B172" s="2">
        <f>SUMPRODUCT(--(dataset!$C$2:$C$807=$A172))</f>
        <v/>
      </c>
      <c r="C172" s="3">
        <f>SUMPRODUCT((dataset!$C$2:$C$807=$A172)*dataset!$B$2:$B$807)/B172</f>
        <v/>
      </c>
      <c r="D172" s="2">
        <f>_xlfn.MINIFS(dataset!$B$2:$B$807,dataset!$C$2:$C$807,$A172)</f>
        <v/>
      </c>
      <c r="E172" s="2">
        <f>_xlfn.MAXIFS(dataset!$B$2:$B$807,dataset!$C$2:$C$807,$A172)</f>
        <v/>
      </c>
      <c r="F172" s="3">
        <f>IFERROR(SUMPRODUCT((dataset!$C$2:$C$807=$A172)*dataset!$I$2:$I$807)/SUMPRODUCT((dataset!$C$2:$C$807=$A172)*(dataset!$I$2:$I$807&lt;&gt;"")),"")</f>
        <v/>
      </c>
      <c r="G172" s="3">
        <f>IFERROR(SUMPRODUCT((dataset!$C$2:$C$807=$A172)*dataset!$J$2:$J$807)/SUMPRODUCT((dataset!$C$2:$C$807=$A172)*(dataset!$J$2:$J$807&lt;&gt;"")),"")</f>
        <v/>
      </c>
    </row>
    <row r="173">
      <c r="A173" s="2" t="inlineStr">
        <is>
          <t>Ed Sheeran</t>
        </is>
      </c>
      <c r="B173" s="2">
        <f>SUMPRODUCT(--(dataset!$C$2:$C$807=$A173))</f>
        <v/>
      </c>
      <c r="C173" s="3">
        <f>SUMPRODUCT((dataset!$C$2:$C$807=$A173)*dataset!$B$2:$B$807)/B173</f>
        <v/>
      </c>
      <c r="D173" s="2">
        <f>_xlfn.MINIFS(dataset!$B$2:$B$807,dataset!$C$2:$C$807,$A173)</f>
        <v/>
      </c>
      <c r="E173" s="2">
        <f>_xlfn.MAXIFS(dataset!$B$2:$B$807,dataset!$C$2:$C$807,$A173)</f>
        <v/>
      </c>
      <c r="F173" s="3">
        <f>IFERROR(SUMPRODUCT((dataset!$C$2:$C$807=$A173)*dataset!$I$2:$I$807)/SUMPRODUCT((dataset!$C$2:$C$807=$A173)*(dataset!$I$2:$I$807&lt;&gt;"")),"")</f>
        <v/>
      </c>
      <c r="G173" s="3">
        <f>IFERROR(SUMPRODUCT((dataset!$C$2:$C$807=$A173)*dataset!$J$2:$J$807)/SUMPRODUCT((dataset!$C$2:$C$807=$A173)*(dataset!$J$2:$J$807&lt;&gt;"")),"")</f>
        <v/>
      </c>
    </row>
    <row r="174">
      <c r="A174" s="2" t="inlineStr">
        <is>
          <t>Ed. Dangel</t>
        </is>
      </c>
      <c r="B174" s="2">
        <f>SUMPRODUCT(--(dataset!$C$2:$C$807=$A174))</f>
        <v/>
      </c>
      <c r="C174" s="3">
        <f>SUMPRODUCT((dataset!$C$2:$C$807=$A174)*dataset!$B$2:$B$807)/B174</f>
        <v/>
      </c>
      <c r="D174" s="2">
        <f>_xlfn.MINIFS(dataset!$B$2:$B$807,dataset!$C$2:$C$807,$A174)</f>
        <v/>
      </c>
      <c r="E174" s="2">
        <f>_xlfn.MAXIFS(dataset!$B$2:$B$807,dataset!$C$2:$C$807,$A174)</f>
        <v/>
      </c>
      <c r="F174" s="3">
        <f>IFERROR(SUMPRODUCT((dataset!$C$2:$C$807=$A174)*dataset!$I$2:$I$807)/SUMPRODUCT((dataset!$C$2:$C$807=$A174)*(dataset!$I$2:$I$807&lt;&gt;"")),"")</f>
        <v/>
      </c>
      <c r="G174" s="3">
        <f>IFERROR(SUMPRODUCT((dataset!$C$2:$C$807=$A174)*dataset!$J$2:$J$807)/SUMPRODUCT((dataset!$C$2:$C$807=$A174)*(dataset!$J$2:$J$807&lt;&gt;"")),"")</f>
        <v/>
      </c>
    </row>
    <row r="175">
      <c r="A175" s="2" t="inlineStr">
        <is>
          <t>Edith Althoff</t>
        </is>
      </c>
      <c r="B175" s="2">
        <f>SUMPRODUCT(--(dataset!$C$2:$C$807=$A175))</f>
        <v/>
      </c>
      <c r="C175" s="3">
        <f>SUMPRODUCT((dataset!$C$2:$C$807=$A175)*dataset!$B$2:$B$807)/B175</f>
        <v/>
      </c>
      <c r="D175" s="2">
        <f>_xlfn.MINIFS(dataset!$B$2:$B$807,dataset!$C$2:$C$807,$A175)</f>
        <v/>
      </c>
      <c r="E175" s="2">
        <f>_xlfn.MAXIFS(dataset!$B$2:$B$807,dataset!$C$2:$C$807,$A175)</f>
        <v/>
      </c>
      <c r="F175" s="3">
        <f>IFERROR(SUMPRODUCT((dataset!$C$2:$C$807=$A175)*dataset!$I$2:$I$807)/SUMPRODUCT((dataset!$C$2:$C$807=$A175)*(dataset!$I$2:$I$807&lt;&gt;"")),"")</f>
        <v/>
      </c>
      <c r="G175" s="3">
        <f>IFERROR(SUMPRODUCT((dataset!$C$2:$C$807=$A175)*dataset!$J$2:$J$807)/SUMPRODUCT((dataset!$C$2:$C$807=$A175)*(dataset!$J$2:$J$807&lt;&gt;"")),"")</f>
        <v/>
      </c>
    </row>
    <row r="176">
      <c r="A176" s="2" t="inlineStr">
        <is>
          <t>Edward Bunting</t>
        </is>
      </c>
      <c r="B176" s="2">
        <f>SUMPRODUCT(--(dataset!$C$2:$C$807=$A176))</f>
        <v/>
      </c>
      <c r="C176" s="3">
        <f>SUMPRODUCT((dataset!$C$2:$C$807=$A176)*dataset!$B$2:$B$807)/B176</f>
        <v/>
      </c>
      <c r="D176" s="2">
        <f>_xlfn.MINIFS(dataset!$B$2:$B$807,dataset!$C$2:$C$807,$A176)</f>
        <v/>
      </c>
      <c r="E176" s="2">
        <f>_xlfn.MAXIFS(dataset!$B$2:$B$807,dataset!$C$2:$C$807,$A176)</f>
        <v/>
      </c>
      <c r="F176" s="3">
        <f>IFERROR(SUMPRODUCT((dataset!$C$2:$C$807=$A176)*dataset!$I$2:$I$807)/SUMPRODUCT((dataset!$C$2:$C$807=$A176)*(dataset!$I$2:$I$807&lt;&gt;"")),"")</f>
        <v/>
      </c>
      <c r="G176" s="3">
        <f>IFERROR(SUMPRODUCT((dataset!$C$2:$C$807=$A176)*dataset!$J$2:$J$807)/SUMPRODUCT((dataset!$C$2:$C$807=$A176)*(dataset!$J$2:$J$807&lt;&gt;"")),"")</f>
        <v/>
      </c>
    </row>
    <row r="177">
      <c r="A177" s="2" t="inlineStr">
        <is>
          <t>Edward Hudson</t>
        </is>
      </c>
      <c r="B177" s="2">
        <f>SUMPRODUCT(--(dataset!$C$2:$C$807=$A177))</f>
        <v/>
      </c>
      <c r="C177" s="3">
        <f>SUMPRODUCT((dataset!$C$2:$C$807=$A177)*dataset!$B$2:$B$807)/B177</f>
        <v/>
      </c>
      <c r="D177" s="2">
        <f>_xlfn.MINIFS(dataset!$B$2:$B$807,dataset!$C$2:$C$807,$A177)</f>
        <v/>
      </c>
      <c r="E177" s="2">
        <f>_xlfn.MAXIFS(dataset!$B$2:$B$807,dataset!$C$2:$C$807,$A177)</f>
        <v/>
      </c>
      <c r="F177" s="3">
        <f>IFERROR(SUMPRODUCT((dataset!$C$2:$C$807=$A177)*dataset!$I$2:$I$807)/SUMPRODUCT((dataset!$C$2:$C$807=$A177)*(dataset!$I$2:$I$807&lt;&gt;"")),"")</f>
        <v/>
      </c>
      <c r="G177" s="3">
        <f>IFERROR(SUMPRODUCT((dataset!$C$2:$C$807=$A177)*dataset!$J$2:$J$807)/SUMPRODUCT((dataset!$C$2:$C$807=$A177)*(dataset!$J$2:$J$807&lt;&gt;"")),"")</f>
        <v/>
      </c>
    </row>
    <row r="178">
      <c r="A178" s="2" t="inlineStr">
        <is>
          <t>Edwin F. Kendall</t>
        </is>
      </c>
      <c r="B178" s="2">
        <f>SUMPRODUCT(--(dataset!$C$2:$C$807=$A178))</f>
        <v/>
      </c>
      <c r="C178" s="3">
        <f>SUMPRODUCT((dataset!$C$2:$C$807=$A178)*dataset!$B$2:$B$807)/B178</f>
        <v/>
      </c>
      <c r="D178" s="2">
        <f>_xlfn.MINIFS(dataset!$B$2:$B$807,dataset!$C$2:$C$807,$A178)</f>
        <v/>
      </c>
      <c r="E178" s="2">
        <f>_xlfn.MAXIFS(dataset!$B$2:$B$807,dataset!$C$2:$C$807,$A178)</f>
        <v/>
      </c>
      <c r="F178" s="3">
        <f>IFERROR(SUMPRODUCT((dataset!$C$2:$C$807=$A178)*dataset!$I$2:$I$807)/SUMPRODUCT((dataset!$C$2:$C$807=$A178)*(dataset!$I$2:$I$807&lt;&gt;"")),"")</f>
        <v/>
      </c>
      <c r="G178" s="3">
        <f>IFERROR(SUMPRODUCT((dataset!$C$2:$C$807=$A178)*dataset!$J$2:$J$807)/SUMPRODUCT((dataset!$C$2:$C$807=$A178)*(dataset!$J$2:$J$807&lt;&gt;"")),"")</f>
        <v/>
      </c>
    </row>
    <row r="179">
      <c r="A179" s="2" t="inlineStr">
        <is>
          <t>Effie F. Kamman</t>
        </is>
      </c>
      <c r="B179" s="2">
        <f>SUMPRODUCT(--(dataset!$C$2:$C$807=$A179))</f>
        <v/>
      </c>
      <c r="C179" s="3">
        <f>SUMPRODUCT((dataset!$C$2:$C$807=$A179)*dataset!$B$2:$B$807)/B179</f>
        <v/>
      </c>
      <c r="D179" s="2">
        <f>_xlfn.MINIFS(dataset!$B$2:$B$807,dataset!$C$2:$C$807,$A179)</f>
        <v/>
      </c>
      <c r="E179" s="2">
        <f>_xlfn.MAXIFS(dataset!$B$2:$B$807,dataset!$C$2:$C$807,$A179)</f>
        <v/>
      </c>
      <c r="F179" s="3">
        <f>IFERROR(SUMPRODUCT((dataset!$C$2:$C$807=$A179)*dataset!$I$2:$I$807)/SUMPRODUCT((dataset!$C$2:$C$807=$A179)*(dataset!$I$2:$I$807&lt;&gt;"")),"")</f>
        <v/>
      </c>
      <c r="G179" s="3">
        <f>IFERROR(SUMPRODUCT((dataset!$C$2:$C$807=$A179)*dataset!$J$2:$J$807)/SUMPRODUCT((dataset!$C$2:$C$807=$A179)*(dataset!$J$2:$J$807&lt;&gt;"")),"")</f>
        <v/>
      </c>
    </row>
    <row r="180">
      <c r="A180" s="2" t="inlineStr">
        <is>
          <t>Elizabeth Kyriakides</t>
        </is>
      </c>
      <c r="B180" s="2">
        <f>SUMPRODUCT(--(dataset!$C$2:$C$807=$A180))</f>
        <v/>
      </c>
      <c r="C180" s="3">
        <f>SUMPRODUCT((dataset!$C$2:$C$807=$A180)*dataset!$B$2:$B$807)/B180</f>
        <v/>
      </c>
      <c r="D180" s="2">
        <f>_xlfn.MINIFS(dataset!$B$2:$B$807,dataset!$C$2:$C$807,$A180)</f>
        <v/>
      </c>
      <c r="E180" s="2">
        <f>_xlfn.MAXIFS(dataset!$B$2:$B$807,dataset!$C$2:$C$807,$A180)</f>
        <v/>
      </c>
      <c r="F180" s="3">
        <f>IFERROR(SUMPRODUCT((dataset!$C$2:$C$807=$A180)*dataset!$I$2:$I$807)/SUMPRODUCT((dataset!$C$2:$C$807=$A180)*(dataset!$I$2:$I$807&lt;&gt;"")),"")</f>
        <v/>
      </c>
      <c r="G180" s="3">
        <f>IFERROR(SUMPRODUCT((dataset!$C$2:$C$807=$A180)*dataset!$J$2:$J$807)/SUMPRODUCT((dataset!$C$2:$C$807=$A180)*(dataset!$J$2:$J$807&lt;&gt;"")),"")</f>
        <v/>
      </c>
    </row>
    <row r="181">
      <c r="A181" s="2" t="inlineStr">
        <is>
          <t>Elliot Wells</t>
        </is>
      </c>
      <c r="B181" s="2">
        <f>SUMPRODUCT(--(dataset!$C$2:$C$807=$A181))</f>
        <v/>
      </c>
      <c r="C181" s="3">
        <f>SUMPRODUCT((dataset!$C$2:$C$807=$A181)*dataset!$B$2:$B$807)/B181</f>
        <v/>
      </c>
      <c r="D181" s="2">
        <f>_xlfn.MINIFS(dataset!$B$2:$B$807,dataset!$C$2:$C$807,$A181)</f>
        <v/>
      </c>
      <c r="E181" s="2">
        <f>_xlfn.MAXIFS(dataset!$B$2:$B$807,dataset!$C$2:$C$807,$A181)</f>
        <v/>
      </c>
      <c r="F181" s="3">
        <f>IFERROR(SUMPRODUCT((dataset!$C$2:$C$807=$A181)*dataset!$I$2:$I$807)/SUMPRODUCT((dataset!$C$2:$C$807=$A181)*(dataset!$I$2:$I$807&lt;&gt;"")),"")</f>
        <v/>
      </c>
      <c r="G181" s="3">
        <f>IFERROR(SUMPRODUCT((dataset!$C$2:$C$807=$A181)*dataset!$J$2:$J$807)/SUMPRODUCT((dataset!$C$2:$C$807=$A181)*(dataset!$J$2:$J$807&lt;&gt;"")),"")</f>
        <v/>
      </c>
    </row>
    <row r="182">
      <c r="A182" s="2" t="inlineStr">
        <is>
          <t>Elmer H. Smith</t>
        </is>
      </c>
      <c r="B182" s="2">
        <f>SUMPRODUCT(--(dataset!$C$2:$C$807=$A182))</f>
        <v/>
      </c>
      <c r="C182" s="3">
        <f>SUMPRODUCT((dataset!$C$2:$C$807=$A182)*dataset!$B$2:$B$807)/B182</f>
        <v/>
      </c>
      <c r="D182" s="2">
        <f>_xlfn.MINIFS(dataset!$B$2:$B$807,dataset!$C$2:$C$807,$A182)</f>
        <v/>
      </c>
      <c r="E182" s="2">
        <f>_xlfn.MAXIFS(dataset!$B$2:$B$807,dataset!$C$2:$C$807,$A182)</f>
        <v/>
      </c>
      <c r="F182" s="3">
        <f>IFERROR(SUMPRODUCT((dataset!$C$2:$C$807=$A182)*dataset!$I$2:$I$807)/SUMPRODUCT((dataset!$C$2:$C$807=$A182)*(dataset!$I$2:$I$807&lt;&gt;"")),"")</f>
        <v/>
      </c>
      <c r="G182" s="3">
        <f>IFERROR(SUMPRODUCT((dataset!$C$2:$C$807=$A182)*dataset!$J$2:$J$807)/SUMPRODUCT((dataset!$C$2:$C$807=$A182)*(dataset!$J$2:$J$807&lt;&gt;"")),"")</f>
        <v/>
      </c>
    </row>
    <row r="183">
      <c r="A183" s="2" t="inlineStr">
        <is>
          <t>Emilee Hanson</t>
        </is>
      </c>
      <c r="B183" s="2">
        <f>SUMPRODUCT(--(dataset!$C$2:$C$807=$A183))</f>
        <v/>
      </c>
      <c r="C183" s="3">
        <f>SUMPRODUCT((dataset!$C$2:$C$807=$A183)*dataset!$B$2:$B$807)/B183</f>
        <v/>
      </c>
      <c r="D183" s="2">
        <f>_xlfn.MINIFS(dataset!$B$2:$B$807,dataset!$C$2:$C$807,$A183)</f>
        <v/>
      </c>
      <c r="E183" s="2">
        <f>_xlfn.MAXIFS(dataset!$B$2:$B$807,dataset!$C$2:$C$807,$A183)</f>
        <v/>
      </c>
      <c r="F183" s="3">
        <f>IFERROR(SUMPRODUCT((dataset!$C$2:$C$807=$A183)*dataset!$I$2:$I$807)/SUMPRODUCT((dataset!$C$2:$C$807=$A183)*(dataset!$I$2:$I$807&lt;&gt;"")),"")</f>
        <v/>
      </c>
      <c r="G183" s="3">
        <f>IFERROR(SUMPRODUCT((dataset!$C$2:$C$807=$A183)*dataset!$J$2:$J$807)/SUMPRODUCT((dataset!$C$2:$C$807=$A183)*(dataset!$J$2:$J$807&lt;&gt;"")),"")</f>
        <v/>
      </c>
    </row>
    <row r="184">
      <c r="A184" s="2" t="inlineStr">
        <is>
          <t>Eric Lee</t>
        </is>
      </c>
      <c r="B184" s="2">
        <f>SUMPRODUCT(--(dataset!$C$2:$C$807=$A184))</f>
        <v/>
      </c>
      <c r="C184" s="3">
        <f>SUMPRODUCT((dataset!$C$2:$C$807=$A184)*dataset!$B$2:$B$807)/B184</f>
        <v/>
      </c>
      <c r="D184" s="2">
        <f>_xlfn.MINIFS(dataset!$B$2:$B$807,dataset!$C$2:$C$807,$A184)</f>
        <v/>
      </c>
      <c r="E184" s="2">
        <f>_xlfn.MAXIFS(dataset!$B$2:$B$807,dataset!$C$2:$C$807,$A184)</f>
        <v/>
      </c>
      <c r="F184" s="3">
        <f>IFERROR(SUMPRODUCT((dataset!$C$2:$C$807=$A184)*dataset!$I$2:$I$807)/SUMPRODUCT((dataset!$C$2:$C$807=$A184)*(dataset!$I$2:$I$807&lt;&gt;"")),"")</f>
        <v/>
      </c>
      <c r="G184" s="3">
        <f>IFERROR(SUMPRODUCT((dataset!$C$2:$C$807=$A184)*dataset!$J$2:$J$807)/SUMPRODUCT((dataset!$C$2:$C$807=$A184)*(dataset!$J$2:$J$807&lt;&gt;"")),"")</f>
        <v/>
      </c>
    </row>
    <row r="185">
      <c r="A185" s="2" t="inlineStr">
        <is>
          <t>Eric Szanto</t>
        </is>
      </c>
      <c r="B185" s="2">
        <f>SUMPRODUCT(--(dataset!$C$2:$C$807=$A185))</f>
        <v/>
      </c>
      <c r="C185" s="3">
        <f>SUMPRODUCT((dataset!$C$2:$C$807=$A185)*dataset!$B$2:$B$807)/B185</f>
        <v/>
      </c>
      <c r="D185" s="2">
        <f>_xlfn.MINIFS(dataset!$B$2:$B$807,dataset!$C$2:$C$807,$A185)</f>
        <v/>
      </c>
      <c r="E185" s="2">
        <f>_xlfn.MAXIFS(dataset!$B$2:$B$807,dataset!$C$2:$C$807,$A185)</f>
        <v/>
      </c>
      <c r="F185" s="3">
        <f>IFERROR(SUMPRODUCT((dataset!$C$2:$C$807=$A185)*dataset!$I$2:$I$807)/SUMPRODUCT((dataset!$C$2:$C$807=$A185)*(dataset!$I$2:$I$807&lt;&gt;"")),"")</f>
        <v/>
      </c>
      <c r="G185" s="3">
        <f>IFERROR(SUMPRODUCT((dataset!$C$2:$C$807=$A185)*dataset!$J$2:$J$807)/SUMPRODUCT((dataset!$C$2:$C$807=$A185)*(dataset!$J$2:$J$807&lt;&gt;"")),"")</f>
        <v/>
      </c>
    </row>
    <row r="186">
      <c r="A186" s="2" t="inlineStr">
        <is>
          <t>Eugene Mack</t>
        </is>
      </c>
      <c r="B186" s="2">
        <f>SUMPRODUCT(--(dataset!$C$2:$C$807=$A186))</f>
        <v/>
      </c>
      <c r="C186" s="3">
        <f>SUMPRODUCT((dataset!$C$2:$C$807=$A186)*dataset!$B$2:$B$807)/B186</f>
        <v/>
      </c>
      <c r="D186" s="2">
        <f>_xlfn.MINIFS(dataset!$B$2:$B$807,dataset!$C$2:$C$807,$A186)</f>
        <v/>
      </c>
      <c r="E186" s="2">
        <f>_xlfn.MAXIFS(dataset!$B$2:$B$807,dataset!$C$2:$C$807,$A186)</f>
        <v/>
      </c>
      <c r="F186" s="3">
        <f>IFERROR(SUMPRODUCT((dataset!$C$2:$C$807=$A186)*dataset!$I$2:$I$807)/SUMPRODUCT((dataset!$C$2:$C$807=$A186)*(dataset!$I$2:$I$807&lt;&gt;"")),"")</f>
        <v/>
      </c>
      <c r="G186" s="3">
        <f>IFERROR(SUMPRODUCT((dataset!$C$2:$C$807=$A186)*dataset!$J$2:$J$807)/SUMPRODUCT((dataset!$C$2:$C$807=$A186)*(dataset!$J$2:$J$807&lt;&gt;"")),"")</f>
        <v/>
      </c>
    </row>
    <row r="187">
      <c r="A187" s="2" t="inlineStr">
        <is>
          <t>Eugene Platzmann</t>
        </is>
      </c>
      <c r="B187" s="2">
        <f>SUMPRODUCT(--(dataset!$C$2:$C$807=$A187))</f>
        <v/>
      </c>
      <c r="C187" s="3">
        <f>SUMPRODUCT((dataset!$C$2:$C$807=$A187)*dataset!$B$2:$B$807)/B187</f>
        <v/>
      </c>
      <c r="D187" s="2">
        <f>_xlfn.MINIFS(dataset!$B$2:$B$807,dataset!$C$2:$C$807,$A187)</f>
        <v/>
      </c>
      <c r="E187" s="2">
        <f>_xlfn.MAXIFS(dataset!$B$2:$B$807,dataset!$C$2:$C$807,$A187)</f>
        <v/>
      </c>
      <c r="F187" s="3">
        <f>IFERROR(SUMPRODUCT((dataset!$C$2:$C$807=$A187)*dataset!$I$2:$I$807)/SUMPRODUCT((dataset!$C$2:$C$807=$A187)*(dataset!$I$2:$I$807&lt;&gt;"")),"")</f>
        <v/>
      </c>
      <c r="G187" s="3">
        <f>IFERROR(SUMPRODUCT((dataset!$C$2:$C$807=$A187)*dataset!$J$2:$J$807)/SUMPRODUCT((dataset!$C$2:$C$807=$A187)*(dataset!$J$2:$J$807&lt;&gt;"")),"")</f>
        <v/>
      </c>
    </row>
    <row r="188">
      <c r="A188" s="2" t="inlineStr">
        <is>
          <t>F-777</t>
        </is>
      </c>
      <c r="B188" s="2">
        <f>SUMPRODUCT(--(dataset!$C$2:$C$807=$A188))</f>
        <v/>
      </c>
      <c r="C188" s="3">
        <f>SUMPRODUCT((dataset!$C$2:$C$807=$A188)*dataset!$B$2:$B$807)/B188</f>
        <v/>
      </c>
      <c r="D188" s="2">
        <f>_xlfn.MINIFS(dataset!$B$2:$B$807,dataset!$C$2:$C$807,$A188)</f>
        <v/>
      </c>
      <c r="E188" s="2">
        <f>_xlfn.MAXIFS(dataset!$B$2:$B$807,dataset!$C$2:$C$807,$A188)</f>
        <v/>
      </c>
      <c r="F188" s="3">
        <f>IFERROR(SUMPRODUCT((dataset!$C$2:$C$807=$A188)*dataset!$I$2:$I$807)/SUMPRODUCT((dataset!$C$2:$C$807=$A188)*(dataset!$I$2:$I$807&lt;&gt;"")),"")</f>
        <v/>
      </c>
      <c r="G188" s="3">
        <f>IFERROR(SUMPRODUCT((dataset!$C$2:$C$807=$A188)*dataset!$J$2:$J$807)/SUMPRODUCT((dataset!$C$2:$C$807=$A188)*(dataset!$J$2:$J$807&lt;&gt;"")),"")</f>
        <v/>
      </c>
    </row>
    <row r="189">
      <c r="A189" s="2" t="inlineStr">
        <is>
          <t>F. M. Wood</t>
        </is>
      </c>
      <c r="B189" s="2">
        <f>SUMPRODUCT(--(dataset!$C$2:$C$807=$A189))</f>
        <v/>
      </c>
      <c r="C189" s="3">
        <f>SUMPRODUCT((dataset!$C$2:$C$807=$A189)*dataset!$B$2:$B$807)/B189</f>
        <v/>
      </c>
      <c r="D189" s="2">
        <f>_xlfn.MINIFS(dataset!$B$2:$B$807,dataset!$C$2:$C$807,$A189)</f>
        <v/>
      </c>
      <c r="E189" s="2">
        <f>_xlfn.MAXIFS(dataset!$B$2:$B$807,dataset!$C$2:$C$807,$A189)</f>
        <v/>
      </c>
      <c r="F189" s="3">
        <f>IFERROR(SUMPRODUCT((dataset!$C$2:$C$807=$A189)*dataset!$I$2:$I$807)/SUMPRODUCT((dataset!$C$2:$C$807=$A189)*(dataset!$I$2:$I$807&lt;&gt;"")),"")</f>
        <v/>
      </c>
      <c r="G189" s="3">
        <f>IFERROR(SUMPRODUCT((dataset!$C$2:$C$807=$A189)*dataset!$J$2:$J$807)/SUMPRODUCT((dataset!$C$2:$C$807=$A189)*(dataset!$J$2:$J$807&lt;&gt;"")),"")</f>
        <v/>
      </c>
    </row>
    <row r="190">
      <c r="A190" s="2" t="inlineStr">
        <is>
          <t>Fanny Hensel</t>
        </is>
      </c>
      <c r="B190" s="2">
        <f>SUMPRODUCT(--(dataset!$C$2:$C$807=$A190))</f>
        <v/>
      </c>
      <c r="C190" s="3">
        <f>SUMPRODUCT((dataset!$C$2:$C$807=$A190)*dataset!$B$2:$B$807)/B190</f>
        <v/>
      </c>
      <c r="D190" s="2">
        <f>_xlfn.MINIFS(dataset!$B$2:$B$807,dataset!$C$2:$C$807,$A190)</f>
        <v/>
      </c>
      <c r="E190" s="2">
        <f>_xlfn.MAXIFS(dataset!$B$2:$B$807,dataset!$C$2:$C$807,$A190)</f>
        <v/>
      </c>
      <c r="F190" s="3">
        <f>IFERROR(SUMPRODUCT((dataset!$C$2:$C$807=$A190)*dataset!$I$2:$I$807)/SUMPRODUCT((dataset!$C$2:$C$807=$A190)*(dataset!$I$2:$I$807&lt;&gt;"")),"")</f>
        <v/>
      </c>
      <c r="G190" s="3">
        <f>IFERROR(SUMPRODUCT((dataset!$C$2:$C$807=$A190)*dataset!$J$2:$J$807)/SUMPRODUCT((dataset!$C$2:$C$807=$A190)*(dataset!$J$2:$J$807&lt;&gt;"")),"")</f>
        <v/>
      </c>
    </row>
    <row r="191">
      <c r="A191" s="2" t="inlineStr">
        <is>
          <t>Felix Arndt</t>
        </is>
      </c>
      <c r="B191" s="2">
        <f>SUMPRODUCT(--(dataset!$C$2:$C$807=$A191))</f>
        <v/>
      </c>
      <c r="C191" s="3">
        <f>SUMPRODUCT((dataset!$C$2:$C$807=$A191)*dataset!$B$2:$B$807)/B191</f>
        <v/>
      </c>
      <c r="D191" s="2">
        <f>_xlfn.MINIFS(dataset!$B$2:$B$807,dataset!$C$2:$C$807,$A191)</f>
        <v/>
      </c>
      <c r="E191" s="2">
        <f>_xlfn.MAXIFS(dataset!$B$2:$B$807,dataset!$C$2:$C$807,$A191)</f>
        <v/>
      </c>
      <c r="F191" s="3">
        <f>IFERROR(SUMPRODUCT((dataset!$C$2:$C$807=$A191)*dataset!$I$2:$I$807)/SUMPRODUCT((dataset!$C$2:$C$807=$A191)*(dataset!$I$2:$I$807&lt;&gt;"")),"")</f>
        <v/>
      </c>
      <c r="G191" s="3">
        <f>IFERROR(SUMPRODUCT((dataset!$C$2:$C$807=$A191)*dataset!$J$2:$J$807)/SUMPRODUCT((dataset!$C$2:$C$807=$A191)*(dataset!$J$2:$J$807&lt;&gt;"")),"")</f>
        <v/>
      </c>
    </row>
    <row r="192">
      <c r="A192" s="2" t="inlineStr">
        <is>
          <t>Felix Petyrek</t>
        </is>
      </c>
      <c r="B192" s="2">
        <f>SUMPRODUCT(--(dataset!$C$2:$C$807=$A192))</f>
        <v/>
      </c>
      <c r="C192" s="3">
        <f>SUMPRODUCT((dataset!$C$2:$C$807=$A192)*dataset!$B$2:$B$807)/B192</f>
        <v/>
      </c>
      <c r="D192" s="2">
        <f>_xlfn.MINIFS(dataset!$B$2:$B$807,dataset!$C$2:$C$807,$A192)</f>
        <v/>
      </c>
      <c r="E192" s="2">
        <f>_xlfn.MAXIFS(dataset!$B$2:$B$807,dataset!$C$2:$C$807,$A192)</f>
        <v/>
      </c>
      <c r="F192" s="3">
        <f>IFERROR(SUMPRODUCT((dataset!$C$2:$C$807=$A192)*dataset!$I$2:$I$807)/SUMPRODUCT((dataset!$C$2:$C$807=$A192)*(dataset!$I$2:$I$807&lt;&gt;"")),"")</f>
        <v/>
      </c>
      <c r="G192" s="3">
        <f>IFERROR(SUMPRODUCT((dataset!$C$2:$C$807=$A192)*dataset!$J$2:$J$807)/SUMPRODUCT((dataset!$C$2:$C$807=$A192)*(dataset!$J$2:$J$807&lt;&gt;"")),"")</f>
        <v/>
      </c>
    </row>
    <row r="193">
      <c r="A193" s="2" t="inlineStr">
        <is>
          <t>Fernando Cobeño Heredia</t>
        </is>
      </c>
      <c r="B193" s="2">
        <f>SUMPRODUCT(--(dataset!$C$2:$C$807=$A193))</f>
        <v/>
      </c>
      <c r="C193" s="3">
        <f>SUMPRODUCT((dataset!$C$2:$C$807=$A193)*dataset!$B$2:$B$807)/B193</f>
        <v/>
      </c>
      <c r="D193" s="2">
        <f>_xlfn.MINIFS(dataset!$B$2:$B$807,dataset!$C$2:$C$807,$A193)</f>
        <v/>
      </c>
      <c r="E193" s="2">
        <f>_xlfn.MAXIFS(dataset!$B$2:$B$807,dataset!$C$2:$C$807,$A193)</f>
        <v/>
      </c>
      <c r="F193" s="3">
        <f>IFERROR(SUMPRODUCT((dataset!$C$2:$C$807=$A193)*dataset!$I$2:$I$807)/SUMPRODUCT((dataset!$C$2:$C$807=$A193)*(dataset!$I$2:$I$807&lt;&gt;"")),"")</f>
        <v/>
      </c>
      <c r="G193" s="3">
        <f>IFERROR(SUMPRODUCT((dataset!$C$2:$C$807=$A193)*dataset!$J$2:$J$807)/SUMPRODUCT((dataset!$C$2:$C$807=$A193)*(dataset!$J$2:$J$807&lt;&gt;"")),"")</f>
        <v/>
      </c>
    </row>
    <row r="194">
      <c r="A194" s="2" t="inlineStr">
        <is>
          <t>Filipus Kevin Hendar S.</t>
        </is>
      </c>
      <c r="B194" s="2">
        <f>SUMPRODUCT(--(dataset!$C$2:$C$807=$A194))</f>
        <v/>
      </c>
      <c r="C194" s="3">
        <f>SUMPRODUCT((dataset!$C$2:$C$807=$A194)*dataset!$B$2:$B$807)/B194</f>
        <v/>
      </c>
      <c r="D194" s="2">
        <f>_xlfn.MINIFS(dataset!$B$2:$B$807,dataset!$C$2:$C$807,$A194)</f>
        <v/>
      </c>
      <c r="E194" s="2">
        <f>_xlfn.MAXIFS(dataset!$B$2:$B$807,dataset!$C$2:$C$807,$A194)</f>
        <v/>
      </c>
      <c r="F194" s="3">
        <f>IFERROR(SUMPRODUCT((dataset!$C$2:$C$807=$A194)*dataset!$I$2:$I$807)/SUMPRODUCT((dataset!$C$2:$C$807=$A194)*(dataset!$I$2:$I$807&lt;&gt;"")),"")</f>
        <v/>
      </c>
      <c r="G194" s="3">
        <f>IFERROR(SUMPRODUCT((dataset!$C$2:$C$807=$A194)*dataset!$J$2:$J$807)/SUMPRODUCT((dataset!$C$2:$C$807=$A194)*(dataset!$J$2:$J$807&lt;&gt;"")),"")</f>
        <v/>
      </c>
    </row>
    <row r="195">
      <c r="A195" s="2" t="inlineStr">
        <is>
          <t>Finn Bernaerdt</t>
        </is>
      </c>
      <c r="B195" s="2">
        <f>SUMPRODUCT(--(dataset!$C$2:$C$807=$A195))</f>
        <v/>
      </c>
      <c r="C195" s="3">
        <f>SUMPRODUCT((dataset!$C$2:$C$807=$A195)*dataset!$B$2:$B$807)/B195</f>
        <v/>
      </c>
      <c r="D195" s="2">
        <f>_xlfn.MINIFS(dataset!$B$2:$B$807,dataset!$C$2:$C$807,$A195)</f>
        <v/>
      </c>
      <c r="E195" s="2">
        <f>_xlfn.MAXIFS(dataset!$B$2:$B$807,dataset!$C$2:$C$807,$A195)</f>
        <v/>
      </c>
      <c r="F195" s="3">
        <f>IFERROR(SUMPRODUCT((dataset!$C$2:$C$807=$A195)*dataset!$I$2:$I$807)/SUMPRODUCT((dataset!$C$2:$C$807=$A195)*(dataset!$I$2:$I$807&lt;&gt;"")),"")</f>
        <v/>
      </c>
      <c r="G195" s="3">
        <f>IFERROR(SUMPRODUCT((dataset!$C$2:$C$807=$A195)*dataset!$J$2:$J$807)/SUMPRODUCT((dataset!$C$2:$C$807=$A195)*(dataset!$J$2:$J$807&lt;&gt;"")),"")</f>
        <v/>
      </c>
    </row>
    <row r="196">
      <c r="A196" s="2" t="inlineStr">
        <is>
          <t>Finneas O'Connell</t>
        </is>
      </c>
      <c r="B196" s="2">
        <f>SUMPRODUCT(--(dataset!$C$2:$C$807=$A196))</f>
        <v/>
      </c>
      <c r="C196" s="3">
        <f>SUMPRODUCT((dataset!$C$2:$C$807=$A196)*dataset!$B$2:$B$807)/B196</f>
        <v/>
      </c>
      <c r="D196" s="2">
        <f>_xlfn.MINIFS(dataset!$B$2:$B$807,dataset!$C$2:$C$807,$A196)</f>
        <v/>
      </c>
      <c r="E196" s="2">
        <f>_xlfn.MAXIFS(dataset!$B$2:$B$807,dataset!$C$2:$C$807,$A196)</f>
        <v/>
      </c>
      <c r="F196" s="3">
        <f>IFERROR(SUMPRODUCT((dataset!$C$2:$C$807=$A196)*dataset!$I$2:$I$807)/SUMPRODUCT((dataset!$C$2:$C$807=$A196)*(dataset!$I$2:$I$807&lt;&gt;"")),"")</f>
        <v/>
      </c>
      <c r="G196" s="3">
        <f>IFERROR(SUMPRODUCT((dataset!$C$2:$C$807=$A196)*dataset!$J$2:$J$807)/SUMPRODUCT((dataset!$C$2:$C$807=$A196)*(dataset!$J$2:$J$807&lt;&gt;"")),"")</f>
        <v/>
      </c>
    </row>
    <row r="197">
      <c r="A197" s="2" t="inlineStr">
        <is>
          <t>Floyd Willis</t>
        </is>
      </c>
      <c r="B197" s="2">
        <f>SUMPRODUCT(--(dataset!$C$2:$C$807=$A197))</f>
        <v/>
      </c>
      <c r="C197" s="3">
        <f>SUMPRODUCT((dataset!$C$2:$C$807=$A197)*dataset!$B$2:$B$807)/B197</f>
        <v/>
      </c>
      <c r="D197" s="2">
        <f>_xlfn.MINIFS(dataset!$B$2:$B$807,dataset!$C$2:$C$807,$A197)</f>
        <v/>
      </c>
      <c r="E197" s="2">
        <f>_xlfn.MAXIFS(dataset!$B$2:$B$807,dataset!$C$2:$C$807,$A197)</f>
        <v/>
      </c>
      <c r="F197" s="3">
        <f>IFERROR(SUMPRODUCT((dataset!$C$2:$C$807=$A197)*dataset!$I$2:$I$807)/SUMPRODUCT((dataset!$C$2:$C$807=$A197)*(dataset!$I$2:$I$807&lt;&gt;"")),"")</f>
        <v/>
      </c>
      <c r="G197" s="3">
        <f>IFERROR(SUMPRODUCT((dataset!$C$2:$C$807=$A197)*dataset!$J$2:$J$807)/SUMPRODUCT((dataset!$C$2:$C$807=$A197)*(dataset!$J$2:$J$807&lt;&gt;"")),"")</f>
        <v/>
      </c>
    </row>
    <row r="198">
      <c r="A198" s="2" t="inlineStr">
        <is>
          <t>Fonzi M</t>
        </is>
      </c>
      <c r="B198" s="2">
        <f>SUMPRODUCT(--(dataset!$C$2:$C$807=$A198))</f>
        <v/>
      </c>
      <c r="C198" s="3">
        <f>SUMPRODUCT((dataset!$C$2:$C$807=$A198)*dataset!$B$2:$B$807)/B198</f>
        <v/>
      </c>
      <c r="D198" s="2">
        <f>_xlfn.MINIFS(dataset!$B$2:$B$807,dataset!$C$2:$C$807,$A198)</f>
        <v/>
      </c>
      <c r="E198" s="2">
        <f>_xlfn.MAXIFS(dataset!$B$2:$B$807,dataset!$C$2:$C$807,$A198)</f>
        <v/>
      </c>
      <c r="F198" s="3">
        <f>IFERROR(SUMPRODUCT((dataset!$C$2:$C$807=$A198)*dataset!$I$2:$I$807)/SUMPRODUCT((dataset!$C$2:$C$807=$A198)*(dataset!$I$2:$I$807&lt;&gt;"")),"")</f>
        <v/>
      </c>
      <c r="G198" s="3">
        <f>IFERROR(SUMPRODUCT((dataset!$C$2:$C$807=$A198)*dataset!$J$2:$J$807)/SUMPRODUCT((dataset!$C$2:$C$807=$A198)*(dataset!$J$2:$J$807&lt;&gt;"")),"")</f>
        <v/>
      </c>
    </row>
    <row r="199">
      <c r="A199" s="2" t="inlineStr">
        <is>
          <t>Francesco Mussin</t>
        </is>
      </c>
      <c r="B199" s="2">
        <f>SUMPRODUCT(--(dataset!$C$2:$C$807=$A199))</f>
        <v/>
      </c>
      <c r="C199" s="3">
        <f>SUMPRODUCT((dataset!$C$2:$C$807=$A199)*dataset!$B$2:$B$807)/B199</f>
        <v/>
      </c>
      <c r="D199" s="2">
        <f>_xlfn.MINIFS(dataset!$B$2:$B$807,dataset!$C$2:$C$807,$A199)</f>
        <v/>
      </c>
      <c r="E199" s="2">
        <f>_xlfn.MAXIFS(dataset!$B$2:$B$807,dataset!$C$2:$C$807,$A199)</f>
        <v/>
      </c>
      <c r="F199" s="3">
        <f>IFERROR(SUMPRODUCT((dataset!$C$2:$C$807=$A199)*dataset!$I$2:$I$807)/SUMPRODUCT((dataset!$C$2:$C$807=$A199)*(dataset!$I$2:$I$807&lt;&gt;"")),"")</f>
        <v/>
      </c>
      <c r="G199" s="3">
        <f>IFERROR(SUMPRODUCT((dataset!$C$2:$C$807=$A199)*dataset!$J$2:$J$807)/SUMPRODUCT((dataset!$C$2:$C$807=$A199)*(dataset!$J$2:$J$807&lt;&gt;"")),"")</f>
        <v/>
      </c>
    </row>
    <row r="200">
      <c r="A200" s="2" t="inlineStr">
        <is>
          <t>Francisco Conejo-García</t>
        </is>
      </c>
      <c r="B200" s="2">
        <f>SUMPRODUCT(--(dataset!$C$2:$C$807=$A200))</f>
        <v/>
      </c>
      <c r="C200" s="3">
        <f>SUMPRODUCT((dataset!$C$2:$C$807=$A200)*dataset!$B$2:$B$807)/B200</f>
        <v/>
      </c>
      <c r="D200" s="2">
        <f>_xlfn.MINIFS(dataset!$B$2:$B$807,dataset!$C$2:$C$807,$A200)</f>
        <v/>
      </c>
      <c r="E200" s="2">
        <f>_xlfn.MAXIFS(dataset!$B$2:$B$807,dataset!$C$2:$C$807,$A200)</f>
        <v/>
      </c>
      <c r="F200" s="3">
        <f>IFERROR(SUMPRODUCT((dataset!$C$2:$C$807=$A200)*dataset!$I$2:$I$807)/SUMPRODUCT((dataset!$C$2:$C$807=$A200)*(dataset!$I$2:$I$807&lt;&gt;"")),"")</f>
        <v/>
      </c>
      <c r="G200" s="3">
        <f>IFERROR(SUMPRODUCT((dataset!$C$2:$C$807=$A200)*dataset!$J$2:$J$807)/SUMPRODUCT((dataset!$C$2:$C$807=$A200)*(dataset!$J$2:$J$807&lt;&gt;"")),"")</f>
        <v/>
      </c>
    </row>
    <row r="201">
      <c r="A201" s="2" t="inlineStr">
        <is>
          <t>Frank Banta</t>
        </is>
      </c>
      <c r="B201" s="2">
        <f>SUMPRODUCT(--(dataset!$C$2:$C$807=$A201))</f>
        <v/>
      </c>
      <c r="C201" s="3">
        <f>SUMPRODUCT((dataset!$C$2:$C$807=$A201)*dataset!$B$2:$B$807)/B201</f>
        <v/>
      </c>
      <c r="D201" s="2">
        <f>_xlfn.MINIFS(dataset!$B$2:$B$807,dataset!$C$2:$C$807,$A201)</f>
        <v/>
      </c>
      <c r="E201" s="2">
        <f>_xlfn.MAXIFS(dataset!$B$2:$B$807,dataset!$C$2:$C$807,$A201)</f>
        <v/>
      </c>
      <c r="F201" s="3">
        <f>IFERROR(SUMPRODUCT((dataset!$C$2:$C$807=$A201)*dataset!$I$2:$I$807)/SUMPRODUCT((dataset!$C$2:$C$807=$A201)*(dataset!$I$2:$I$807&lt;&gt;"")),"")</f>
        <v/>
      </c>
      <c r="G201" s="3">
        <f>IFERROR(SUMPRODUCT((dataset!$C$2:$C$807=$A201)*dataset!$J$2:$J$807)/SUMPRODUCT((dataset!$C$2:$C$807=$A201)*(dataset!$J$2:$J$807&lt;&gt;"")),"")</f>
        <v/>
      </c>
    </row>
    <row r="202">
      <c r="A202" s="2" t="inlineStr">
        <is>
          <t>Frank Pallma</t>
        </is>
      </c>
      <c r="B202" s="2">
        <f>SUMPRODUCT(--(dataset!$C$2:$C$807=$A202))</f>
        <v/>
      </c>
      <c r="C202" s="3">
        <f>SUMPRODUCT((dataset!$C$2:$C$807=$A202)*dataset!$B$2:$B$807)/B202</f>
        <v/>
      </c>
      <c r="D202" s="2">
        <f>_xlfn.MINIFS(dataset!$B$2:$B$807,dataset!$C$2:$C$807,$A202)</f>
        <v/>
      </c>
      <c r="E202" s="2">
        <f>_xlfn.MAXIFS(dataset!$B$2:$B$807,dataset!$C$2:$C$807,$A202)</f>
        <v/>
      </c>
      <c r="F202" s="3">
        <f>IFERROR(SUMPRODUCT((dataset!$C$2:$C$807=$A202)*dataset!$I$2:$I$807)/SUMPRODUCT((dataset!$C$2:$C$807=$A202)*(dataset!$I$2:$I$807&lt;&gt;"")),"")</f>
        <v/>
      </c>
      <c r="G202" s="3">
        <f>IFERROR(SUMPRODUCT((dataset!$C$2:$C$807=$A202)*dataset!$J$2:$J$807)/SUMPRODUCT((dataset!$C$2:$C$807=$A202)*(dataset!$J$2:$J$807&lt;&gt;"")),"")</f>
        <v/>
      </c>
    </row>
    <row r="203">
      <c r="A203" s="2" t="inlineStr">
        <is>
          <t>Frank Signorelli</t>
        </is>
      </c>
      <c r="B203" s="2">
        <f>SUMPRODUCT(--(dataset!$C$2:$C$807=$A203))</f>
        <v/>
      </c>
      <c r="C203" s="3">
        <f>SUMPRODUCT((dataset!$C$2:$C$807=$A203)*dataset!$B$2:$B$807)/B203</f>
        <v/>
      </c>
      <c r="D203" s="2">
        <f>_xlfn.MINIFS(dataset!$B$2:$B$807,dataset!$C$2:$C$807,$A203)</f>
        <v/>
      </c>
      <c r="E203" s="2">
        <f>_xlfn.MAXIFS(dataset!$B$2:$B$807,dataset!$C$2:$C$807,$A203)</f>
        <v/>
      </c>
      <c r="F203" s="3">
        <f>IFERROR(SUMPRODUCT((dataset!$C$2:$C$807=$A203)*dataset!$I$2:$I$807)/SUMPRODUCT((dataset!$C$2:$C$807=$A203)*(dataset!$I$2:$I$807&lt;&gt;"")),"")</f>
        <v/>
      </c>
      <c r="G203" s="3">
        <f>IFERROR(SUMPRODUCT((dataset!$C$2:$C$807=$A203)*dataset!$J$2:$J$807)/SUMPRODUCT((dataset!$C$2:$C$807=$A203)*(dataset!$J$2:$J$807&lt;&gt;"")),"")</f>
        <v/>
      </c>
    </row>
    <row r="204">
      <c r="A204" s="2" t="inlineStr">
        <is>
          <t>Frank Stori</t>
        </is>
      </c>
      <c r="B204" s="2">
        <f>SUMPRODUCT(--(dataset!$C$2:$C$807=$A204))</f>
        <v/>
      </c>
      <c r="C204" s="3">
        <f>SUMPRODUCT((dataset!$C$2:$C$807=$A204)*dataset!$B$2:$B$807)/B204</f>
        <v/>
      </c>
      <c r="D204" s="2">
        <f>_xlfn.MINIFS(dataset!$B$2:$B$807,dataset!$C$2:$C$807,$A204)</f>
        <v/>
      </c>
      <c r="E204" s="2">
        <f>_xlfn.MAXIFS(dataset!$B$2:$B$807,dataset!$C$2:$C$807,$A204)</f>
        <v/>
      </c>
      <c r="F204" s="3">
        <f>IFERROR(SUMPRODUCT((dataset!$C$2:$C$807=$A204)*dataset!$I$2:$I$807)/SUMPRODUCT((dataset!$C$2:$C$807=$A204)*(dataset!$I$2:$I$807&lt;&gt;"")),"")</f>
        <v/>
      </c>
      <c r="G204" s="3">
        <f>IFERROR(SUMPRODUCT((dataset!$C$2:$C$807=$A204)*dataset!$J$2:$J$807)/SUMPRODUCT((dataset!$C$2:$C$807=$A204)*(dataset!$J$2:$J$807&lt;&gt;"")),"")</f>
        <v/>
      </c>
    </row>
    <row r="205">
      <c r="A205" s="2" t="inlineStr">
        <is>
          <t>Frank Wooster &amp; Ethel B. Smith</t>
        </is>
      </c>
      <c r="B205" s="2">
        <f>SUMPRODUCT(--(dataset!$C$2:$C$807=$A205))</f>
        <v/>
      </c>
      <c r="C205" s="3">
        <f>SUMPRODUCT((dataset!$C$2:$C$807=$A205)*dataset!$B$2:$B$807)/B205</f>
        <v/>
      </c>
      <c r="D205" s="2">
        <f>_xlfn.MINIFS(dataset!$B$2:$B$807,dataset!$C$2:$C$807,$A205)</f>
        <v/>
      </c>
      <c r="E205" s="2">
        <f>_xlfn.MAXIFS(dataset!$B$2:$B$807,dataset!$C$2:$C$807,$A205)</f>
        <v/>
      </c>
      <c r="F205" s="3">
        <f>IFERROR(SUMPRODUCT((dataset!$C$2:$C$807=$A205)*dataset!$I$2:$I$807)/SUMPRODUCT((dataset!$C$2:$C$807=$A205)*(dataset!$I$2:$I$807&lt;&gt;"")),"")</f>
        <v/>
      </c>
      <c r="G205" s="3">
        <f>IFERROR(SUMPRODUCT((dataset!$C$2:$C$807=$A205)*dataset!$J$2:$J$807)/SUMPRODUCT((dataset!$C$2:$C$807=$A205)*(dataset!$J$2:$J$807&lt;&gt;"")),"")</f>
        <v/>
      </c>
    </row>
    <row r="206">
      <c r="A206" s="2" t="inlineStr">
        <is>
          <t>Franz Xaver Gruber</t>
        </is>
      </c>
      <c r="B206" s="2">
        <f>SUMPRODUCT(--(dataset!$C$2:$C$807=$A206))</f>
        <v/>
      </c>
      <c r="C206" s="3">
        <f>SUMPRODUCT((dataset!$C$2:$C$807=$A206)*dataset!$B$2:$B$807)/B206</f>
        <v/>
      </c>
      <c r="D206" s="2">
        <f>_xlfn.MINIFS(dataset!$B$2:$B$807,dataset!$C$2:$C$807,$A206)</f>
        <v/>
      </c>
      <c r="E206" s="2">
        <f>_xlfn.MAXIFS(dataset!$B$2:$B$807,dataset!$C$2:$C$807,$A206)</f>
        <v/>
      </c>
      <c r="F206" s="3">
        <f>IFERROR(SUMPRODUCT((dataset!$C$2:$C$807=$A206)*dataset!$I$2:$I$807)/SUMPRODUCT((dataset!$C$2:$C$807=$A206)*(dataset!$I$2:$I$807&lt;&gt;"")),"")</f>
        <v/>
      </c>
      <c r="G206" s="3">
        <f>IFERROR(SUMPRODUCT((dataset!$C$2:$C$807=$A206)*dataset!$J$2:$J$807)/SUMPRODUCT((dataset!$C$2:$C$807=$A206)*(dataset!$J$2:$J$807&lt;&gt;"")),"")</f>
        <v/>
      </c>
    </row>
    <row r="207">
      <c r="A207" s="2" t="inlineStr">
        <is>
          <t>François Couperin</t>
        </is>
      </c>
      <c r="B207" s="2">
        <f>SUMPRODUCT(--(dataset!$C$2:$C$807=$A207))</f>
        <v/>
      </c>
      <c r="C207" s="3">
        <f>SUMPRODUCT((dataset!$C$2:$C$807=$A207)*dataset!$B$2:$B$807)/B207</f>
        <v/>
      </c>
      <c r="D207" s="2">
        <f>_xlfn.MINIFS(dataset!$B$2:$B$807,dataset!$C$2:$C$807,$A207)</f>
        <v/>
      </c>
      <c r="E207" s="2">
        <f>_xlfn.MAXIFS(dataset!$B$2:$B$807,dataset!$C$2:$C$807,$A207)</f>
        <v/>
      </c>
      <c r="F207" s="3">
        <f>IFERROR(SUMPRODUCT((dataset!$C$2:$C$807=$A207)*dataset!$I$2:$I$807)/SUMPRODUCT((dataset!$C$2:$C$807=$A207)*(dataset!$I$2:$I$807&lt;&gt;"")),"")</f>
        <v/>
      </c>
      <c r="G207" s="3">
        <f>IFERROR(SUMPRODUCT((dataset!$C$2:$C$807=$A207)*dataset!$J$2:$J$807)/SUMPRODUCT((dataset!$C$2:$C$807=$A207)*(dataset!$J$2:$J$807&lt;&gt;"")),"")</f>
        <v/>
      </c>
    </row>
    <row r="208">
      <c r="A208" s="2" t="inlineStr">
        <is>
          <t>François Joseph Gossec</t>
        </is>
      </c>
      <c r="B208" s="2">
        <f>SUMPRODUCT(--(dataset!$C$2:$C$807=$A208))</f>
        <v/>
      </c>
      <c r="C208" s="3">
        <f>SUMPRODUCT((dataset!$C$2:$C$807=$A208)*dataset!$B$2:$B$807)/B208</f>
        <v/>
      </c>
      <c r="D208" s="2">
        <f>_xlfn.MINIFS(dataset!$B$2:$B$807,dataset!$C$2:$C$807,$A208)</f>
        <v/>
      </c>
      <c r="E208" s="2">
        <f>_xlfn.MAXIFS(dataset!$B$2:$B$807,dataset!$C$2:$C$807,$A208)</f>
        <v/>
      </c>
      <c r="F208" s="3">
        <f>IFERROR(SUMPRODUCT((dataset!$C$2:$C$807=$A208)*dataset!$I$2:$I$807)/SUMPRODUCT((dataset!$C$2:$C$807=$A208)*(dataset!$I$2:$I$807&lt;&gt;"")),"")</f>
        <v/>
      </c>
      <c r="G208" s="3">
        <f>IFERROR(SUMPRODUCT((dataset!$C$2:$C$807=$A208)*dataset!$J$2:$J$807)/SUMPRODUCT((dataset!$C$2:$C$807=$A208)*(dataset!$J$2:$J$807&lt;&gt;"")),"")</f>
        <v/>
      </c>
    </row>
    <row r="209">
      <c r="A209" s="2" t="inlineStr">
        <is>
          <t>Fred Hager</t>
        </is>
      </c>
      <c r="B209" s="2">
        <f>SUMPRODUCT(--(dataset!$C$2:$C$807=$A209))</f>
        <v/>
      </c>
      <c r="C209" s="3">
        <f>SUMPRODUCT((dataset!$C$2:$C$807=$A209)*dataset!$B$2:$B$807)/B209</f>
        <v/>
      </c>
      <c r="D209" s="2">
        <f>_xlfn.MINIFS(dataset!$B$2:$B$807,dataset!$C$2:$C$807,$A209)</f>
        <v/>
      </c>
      <c r="E209" s="2">
        <f>_xlfn.MAXIFS(dataset!$B$2:$B$807,dataset!$C$2:$C$807,$A209)</f>
        <v/>
      </c>
      <c r="F209" s="3">
        <f>IFERROR(SUMPRODUCT((dataset!$C$2:$C$807=$A209)*dataset!$I$2:$I$807)/SUMPRODUCT((dataset!$C$2:$C$807=$A209)*(dataset!$I$2:$I$807&lt;&gt;"")),"")</f>
        <v/>
      </c>
      <c r="G209" s="3">
        <f>IFERROR(SUMPRODUCT((dataset!$C$2:$C$807=$A209)*dataset!$J$2:$J$807)/SUMPRODUCT((dataset!$C$2:$C$807=$A209)*(dataset!$J$2:$J$807&lt;&gt;"")),"")</f>
        <v/>
      </c>
    </row>
    <row r="210">
      <c r="A210" s="2" t="inlineStr">
        <is>
          <t>Fritz Spindler</t>
        </is>
      </c>
      <c r="B210" s="2">
        <f>SUMPRODUCT(--(dataset!$C$2:$C$807=$A210))</f>
        <v/>
      </c>
      <c r="C210" s="3">
        <f>SUMPRODUCT((dataset!$C$2:$C$807=$A210)*dataset!$B$2:$B$807)/B210</f>
        <v/>
      </c>
      <c r="D210" s="2">
        <f>_xlfn.MINIFS(dataset!$B$2:$B$807,dataset!$C$2:$C$807,$A210)</f>
        <v/>
      </c>
      <c r="E210" s="2">
        <f>_xlfn.MAXIFS(dataset!$B$2:$B$807,dataset!$C$2:$C$807,$A210)</f>
        <v/>
      </c>
      <c r="F210" s="3">
        <f>IFERROR(SUMPRODUCT((dataset!$C$2:$C$807=$A210)*dataset!$I$2:$I$807)/SUMPRODUCT((dataset!$C$2:$C$807=$A210)*(dataset!$I$2:$I$807&lt;&gt;"")),"")</f>
        <v/>
      </c>
      <c r="G210" s="3">
        <f>IFERROR(SUMPRODUCT((dataset!$C$2:$C$807=$A210)*dataset!$J$2:$J$807)/SUMPRODUCT((dataset!$C$2:$C$807=$A210)*(dataset!$J$2:$J$807&lt;&gt;"")),"")</f>
        <v/>
      </c>
    </row>
    <row r="211">
      <c r="A211" s="2" t="inlineStr">
        <is>
          <t>Fuad İbrahimli</t>
        </is>
      </c>
      <c r="B211" s="2">
        <f>SUMPRODUCT(--(dataset!$C$2:$C$807=$A211))</f>
        <v/>
      </c>
      <c r="C211" s="3">
        <f>SUMPRODUCT((dataset!$C$2:$C$807=$A211)*dataset!$B$2:$B$807)/B211</f>
        <v/>
      </c>
      <c r="D211" s="2">
        <f>_xlfn.MINIFS(dataset!$B$2:$B$807,dataset!$C$2:$C$807,$A211)</f>
        <v/>
      </c>
      <c r="E211" s="2">
        <f>_xlfn.MAXIFS(dataset!$B$2:$B$807,dataset!$C$2:$C$807,$A211)</f>
        <v/>
      </c>
      <c r="F211" s="3">
        <f>IFERROR(SUMPRODUCT((dataset!$C$2:$C$807=$A211)*dataset!$I$2:$I$807)/SUMPRODUCT((dataset!$C$2:$C$807=$A211)*(dataset!$I$2:$I$807&lt;&gt;"")),"")</f>
        <v/>
      </c>
      <c r="G211" s="3">
        <f>IFERROR(SUMPRODUCT((dataset!$C$2:$C$807=$A211)*dataset!$J$2:$J$807)/SUMPRODUCT((dataset!$C$2:$C$807=$A211)*(dataset!$J$2:$J$807&lt;&gt;"")),"")</f>
        <v/>
      </c>
    </row>
    <row r="212">
      <c r="A212" s="2" t="inlineStr">
        <is>
          <t>G. Toselli</t>
        </is>
      </c>
      <c r="B212" s="2">
        <f>SUMPRODUCT(--(dataset!$C$2:$C$807=$A212))</f>
        <v/>
      </c>
      <c r="C212" s="3">
        <f>SUMPRODUCT((dataset!$C$2:$C$807=$A212)*dataset!$B$2:$B$807)/B212</f>
        <v/>
      </c>
      <c r="D212" s="2">
        <f>_xlfn.MINIFS(dataset!$B$2:$B$807,dataset!$C$2:$C$807,$A212)</f>
        <v/>
      </c>
      <c r="E212" s="2">
        <f>_xlfn.MAXIFS(dataset!$B$2:$B$807,dataset!$C$2:$C$807,$A212)</f>
        <v/>
      </c>
      <c r="F212" s="3">
        <f>IFERROR(SUMPRODUCT((dataset!$C$2:$C$807=$A212)*dataset!$I$2:$I$807)/SUMPRODUCT((dataset!$C$2:$C$807=$A212)*(dataset!$I$2:$I$807&lt;&gt;"")),"")</f>
        <v/>
      </c>
      <c r="G212" s="3">
        <f>IFERROR(SUMPRODUCT((dataset!$C$2:$C$807=$A212)*dataset!$J$2:$J$807)/SUMPRODUCT((dataset!$C$2:$C$807=$A212)*(dataset!$J$2:$J$807&lt;&gt;"")),"")</f>
        <v/>
      </c>
    </row>
    <row r="213">
      <c r="A213" s="2" t="inlineStr">
        <is>
          <t>Garett T. Beelow</t>
        </is>
      </c>
      <c r="B213" s="2">
        <f>SUMPRODUCT(--(dataset!$C$2:$C$807=$A213))</f>
        <v/>
      </c>
      <c r="C213" s="3">
        <f>SUMPRODUCT((dataset!$C$2:$C$807=$A213)*dataset!$B$2:$B$807)/B213</f>
        <v/>
      </c>
      <c r="D213" s="2">
        <f>_xlfn.MINIFS(dataset!$B$2:$B$807,dataset!$C$2:$C$807,$A213)</f>
        <v/>
      </c>
      <c r="E213" s="2">
        <f>_xlfn.MAXIFS(dataset!$B$2:$B$807,dataset!$C$2:$C$807,$A213)</f>
        <v/>
      </c>
      <c r="F213" s="3">
        <f>IFERROR(SUMPRODUCT((dataset!$C$2:$C$807=$A213)*dataset!$I$2:$I$807)/SUMPRODUCT((dataset!$C$2:$C$807=$A213)*(dataset!$I$2:$I$807&lt;&gt;"")),"")</f>
        <v/>
      </c>
      <c r="G213" s="3">
        <f>IFERROR(SUMPRODUCT((dataset!$C$2:$C$807=$A213)*dataset!$J$2:$J$807)/SUMPRODUCT((dataset!$C$2:$C$807=$A213)*(dataset!$J$2:$J$807&lt;&gt;"")),"")</f>
        <v/>
      </c>
    </row>
    <row r="214">
      <c r="A214" s="2" t="inlineStr">
        <is>
          <t>Gary Schyman</t>
        </is>
      </c>
      <c r="B214" s="2">
        <f>SUMPRODUCT(--(dataset!$C$2:$C$807=$A214))</f>
        <v/>
      </c>
      <c r="C214" s="3">
        <f>SUMPRODUCT((dataset!$C$2:$C$807=$A214)*dataset!$B$2:$B$807)/B214</f>
        <v/>
      </c>
      <c r="D214" s="2">
        <f>_xlfn.MINIFS(dataset!$B$2:$B$807,dataset!$C$2:$C$807,$A214)</f>
        <v/>
      </c>
      <c r="E214" s="2">
        <f>_xlfn.MAXIFS(dataset!$B$2:$B$807,dataset!$C$2:$C$807,$A214)</f>
        <v/>
      </c>
      <c r="F214" s="3">
        <f>IFERROR(SUMPRODUCT((dataset!$C$2:$C$807=$A214)*dataset!$I$2:$I$807)/SUMPRODUCT((dataset!$C$2:$C$807=$A214)*(dataset!$I$2:$I$807&lt;&gt;"")),"")</f>
        <v/>
      </c>
      <c r="G214" s="3">
        <f>IFERROR(SUMPRODUCT((dataset!$C$2:$C$807=$A214)*dataset!$J$2:$J$807)/SUMPRODUCT((dataset!$C$2:$C$807=$A214)*(dataset!$J$2:$J$807&lt;&gt;"")),"")</f>
        <v/>
      </c>
    </row>
    <row r="215">
      <c r="A215" s="2" t="inlineStr">
        <is>
          <t>George A. Minor</t>
        </is>
      </c>
      <c r="B215" s="2">
        <f>SUMPRODUCT(--(dataset!$C$2:$C$807=$A215))</f>
        <v/>
      </c>
      <c r="C215" s="3">
        <f>SUMPRODUCT((dataset!$C$2:$C$807=$A215)*dataset!$B$2:$B$807)/B215</f>
        <v/>
      </c>
      <c r="D215" s="2">
        <f>_xlfn.MINIFS(dataset!$B$2:$B$807,dataset!$C$2:$C$807,$A215)</f>
        <v/>
      </c>
      <c r="E215" s="2">
        <f>_xlfn.MAXIFS(dataset!$B$2:$B$807,dataset!$C$2:$C$807,$A215)</f>
        <v/>
      </c>
      <c r="F215" s="3">
        <f>IFERROR(SUMPRODUCT((dataset!$C$2:$C$807=$A215)*dataset!$I$2:$I$807)/SUMPRODUCT((dataset!$C$2:$C$807=$A215)*(dataset!$I$2:$I$807&lt;&gt;"")),"")</f>
        <v/>
      </c>
      <c r="G215" s="3">
        <f>IFERROR(SUMPRODUCT((dataset!$C$2:$C$807=$A215)*dataset!$J$2:$J$807)/SUMPRODUCT((dataset!$C$2:$C$807=$A215)*(dataset!$J$2:$J$807&lt;&gt;"")),"")</f>
        <v/>
      </c>
    </row>
    <row r="216">
      <c r="A216" s="2" t="inlineStr">
        <is>
          <t>George Adam Reeg</t>
        </is>
      </c>
      <c r="B216" s="2">
        <f>SUMPRODUCT(--(dataset!$C$2:$C$807=$A216))</f>
        <v/>
      </c>
      <c r="C216" s="3">
        <f>SUMPRODUCT((dataset!$C$2:$C$807=$A216)*dataset!$B$2:$B$807)/B216</f>
        <v/>
      </c>
      <c r="D216" s="2">
        <f>_xlfn.MINIFS(dataset!$B$2:$B$807,dataset!$C$2:$C$807,$A216)</f>
        <v/>
      </c>
      <c r="E216" s="2">
        <f>_xlfn.MAXIFS(dataset!$B$2:$B$807,dataset!$C$2:$C$807,$A216)</f>
        <v/>
      </c>
      <c r="F216" s="3">
        <f>IFERROR(SUMPRODUCT((dataset!$C$2:$C$807=$A216)*dataset!$I$2:$I$807)/SUMPRODUCT((dataset!$C$2:$C$807=$A216)*(dataset!$I$2:$I$807&lt;&gt;"")),"")</f>
        <v/>
      </c>
      <c r="G216" s="3">
        <f>IFERROR(SUMPRODUCT((dataset!$C$2:$C$807=$A216)*dataset!$J$2:$J$807)/SUMPRODUCT((dataset!$C$2:$C$807=$A216)*(dataset!$J$2:$J$807&lt;&gt;"")),"")</f>
        <v/>
      </c>
    </row>
    <row r="217">
      <c r="A217" s="2" t="inlineStr">
        <is>
          <t>George L. Cobb</t>
        </is>
      </c>
      <c r="B217" s="2">
        <f>SUMPRODUCT(--(dataset!$C$2:$C$807=$A217))</f>
        <v/>
      </c>
      <c r="C217" s="3">
        <f>SUMPRODUCT((dataset!$C$2:$C$807=$A217)*dataset!$B$2:$B$807)/B217</f>
        <v/>
      </c>
      <c r="D217" s="2">
        <f>_xlfn.MINIFS(dataset!$B$2:$B$807,dataset!$C$2:$C$807,$A217)</f>
        <v/>
      </c>
      <c r="E217" s="2">
        <f>_xlfn.MAXIFS(dataset!$B$2:$B$807,dataset!$C$2:$C$807,$A217)</f>
        <v/>
      </c>
      <c r="F217" s="3">
        <f>IFERROR(SUMPRODUCT((dataset!$C$2:$C$807=$A217)*dataset!$I$2:$I$807)/SUMPRODUCT((dataset!$C$2:$C$807=$A217)*(dataset!$I$2:$I$807&lt;&gt;"")),"")</f>
        <v/>
      </c>
      <c r="G217" s="3">
        <f>IFERROR(SUMPRODUCT((dataset!$C$2:$C$807=$A217)*dataset!$J$2:$J$807)/SUMPRODUCT((dataset!$C$2:$C$807=$A217)*(dataset!$J$2:$J$807&lt;&gt;"")),"")</f>
        <v/>
      </c>
    </row>
    <row r="218">
      <c r="A218" s="2" t="inlineStr">
        <is>
          <t>George Rosey</t>
        </is>
      </c>
      <c r="B218" s="2">
        <f>SUMPRODUCT(--(dataset!$C$2:$C$807=$A218))</f>
        <v/>
      </c>
      <c r="C218" s="3">
        <f>SUMPRODUCT((dataset!$C$2:$C$807=$A218)*dataset!$B$2:$B$807)/B218</f>
        <v/>
      </c>
      <c r="D218" s="2">
        <f>_xlfn.MINIFS(dataset!$B$2:$B$807,dataset!$C$2:$C$807,$A218)</f>
        <v/>
      </c>
      <c r="E218" s="2">
        <f>_xlfn.MAXIFS(dataset!$B$2:$B$807,dataset!$C$2:$C$807,$A218)</f>
        <v/>
      </c>
      <c r="F218" s="3">
        <f>IFERROR(SUMPRODUCT((dataset!$C$2:$C$807=$A218)*dataset!$I$2:$I$807)/SUMPRODUCT((dataset!$C$2:$C$807=$A218)*(dataset!$I$2:$I$807&lt;&gt;"")),"")</f>
        <v/>
      </c>
      <c r="G218" s="3">
        <f>IFERROR(SUMPRODUCT((dataset!$C$2:$C$807=$A218)*dataset!$J$2:$J$807)/SUMPRODUCT((dataset!$C$2:$C$807=$A218)*(dataset!$J$2:$J$807&lt;&gt;"")),"")</f>
        <v/>
      </c>
    </row>
    <row r="219">
      <c r="A219" s="2" t="inlineStr">
        <is>
          <t>George Thomas &amp; Hersal Thomas</t>
        </is>
      </c>
      <c r="B219" s="2">
        <f>SUMPRODUCT(--(dataset!$C$2:$C$807=$A219))</f>
        <v/>
      </c>
      <c r="C219" s="3">
        <f>SUMPRODUCT((dataset!$C$2:$C$807=$A219)*dataset!$B$2:$B$807)/B219</f>
        <v/>
      </c>
      <c r="D219" s="2">
        <f>_xlfn.MINIFS(dataset!$B$2:$B$807,dataset!$C$2:$C$807,$A219)</f>
        <v/>
      </c>
      <c r="E219" s="2">
        <f>_xlfn.MAXIFS(dataset!$B$2:$B$807,dataset!$C$2:$C$807,$A219)</f>
        <v/>
      </c>
      <c r="F219" s="3">
        <f>IFERROR(SUMPRODUCT((dataset!$C$2:$C$807=$A219)*dataset!$I$2:$I$807)/SUMPRODUCT((dataset!$C$2:$C$807=$A219)*(dataset!$I$2:$I$807&lt;&gt;"")),"")</f>
        <v/>
      </c>
      <c r="G219" s="3">
        <f>IFERROR(SUMPRODUCT((dataset!$C$2:$C$807=$A219)*dataset!$J$2:$J$807)/SUMPRODUCT((dataset!$C$2:$C$807=$A219)*(dataset!$J$2:$J$807&lt;&gt;"")),"")</f>
        <v/>
      </c>
    </row>
    <row r="220">
      <c r="A220" s="2" t="inlineStr">
        <is>
          <t>Gerardo Matos Rodríguez</t>
        </is>
      </c>
      <c r="B220" s="2">
        <f>SUMPRODUCT(--(dataset!$C$2:$C$807=$A220))</f>
        <v/>
      </c>
      <c r="C220" s="3">
        <f>SUMPRODUCT((dataset!$C$2:$C$807=$A220)*dataset!$B$2:$B$807)/B220</f>
        <v/>
      </c>
      <c r="D220" s="2">
        <f>_xlfn.MINIFS(dataset!$B$2:$B$807,dataset!$C$2:$C$807,$A220)</f>
        <v/>
      </c>
      <c r="E220" s="2">
        <f>_xlfn.MAXIFS(dataset!$B$2:$B$807,dataset!$C$2:$C$807,$A220)</f>
        <v/>
      </c>
      <c r="F220" s="3">
        <f>IFERROR(SUMPRODUCT((dataset!$C$2:$C$807=$A220)*dataset!$I$2:$I$807)/SUMPRODUCT((dataset!$C$2:$C$807=$A220)*(dataset!$I$2:$I$807&lt;&gt;"")),"")</f>
        <v/>
      </c>
      <c r="G220" s="3">
        <f>IFERROR(SUMPRODUCT((dataset!$C$2:$C$807=$A220)*dataset!$J$2:$J$807)/SUMPRODUCT((dataset!$C$2:$C$807=$A220)*(dataset!$J$2:$J$807&lt;&gt;"")),"")</f>
        <v/>
      </c>
    </row>
    <row r="221">
      <c r="A221" s="2" t="inlineStr">
        <is>
          <t>Gioachino Rossini</t>
        </is>
      </c>
      <c r="B221" s="2">
        <f>SUMPRODUCT(--(dataset!$C$2:$C$807=$A221))</f>
        <v/>
      </c>
      <c r="C221" s="3">
        <f>SUMPRODUCT((dataset!$C$2:$C$807=$A221)*dataset!$B$2:$B$807)/B221</f>
        <v/>
      </c>
      <c r="D221" s="2">
        <f>_xlfn.MINIFS(dataset!$B$2:$B$807,dataset!$C$2:$C$807,$A221)</f>
        <v/>
      </c>
      <c r="E221" s="2">
        <f>_xlfn.MAXIFS(dataset!$B$2:$B$807,dataset!$C$2:$C$807,$A221)</f>
        <v/>
      </c>
      <c r="F221" s="3">
        <f>IFERROR(SUMPRODUCT((dataset!$C$2:$C$807=$A221)*dataset!$I$2:$I$807)/SUMPRODUCT((dataset!$C$2:$C$807=$A221)*(dataset!$I$2:$I$807&lt;&gt;"")),"")</f>
        <v/>
      </c>
      <c r="G221" s="3">
        <f>IFERROR(SUMPRODUCT((dataset!$C$2:$C$807=$A221)*dataset!$J$2:$J$807)/SUMPRODUCT((dataset!$C$2:$C$807=$A221)*(dataset!$J$2:$J$807&lt;&gt;"")),"")</f>
        <v/>
      </c>
    </row>
    <row r="222">
      <c r="A222" s="2" t="inlineStr">
        <is>
          <t>Giuseppe Ottaviani</t>
        </is>
      </c>
      <c r="B222" s="2">
        <f>SUMPRODUCT(--(dataset!$C$2:$C$807=$A222))</f>
        <v/>
      </c>
      <c r="C222" s="3">
        <f>SUMPRODUCT((dataset!$C$2:$C$807=$A222)*dataset!$B$2:$B$807)/B222</f>
        <v/>
      </c>
      <c r="D222" s="2">
        <f>_xlfn.MINIFS(dataset!$B$2:$B$807,dataset!$C$2:$C$807,$A222)</f>
        <v/>
      </c>
      <c r="E222" s="2">
        <f>_xlfn.MAXIFS(dataset!$B$2:$B$807,dataset!$C$2:$C$807,$A222)</f>
        <v/>
      </c>
      <c r="F222" s="3">
        <f>IFERROR(SUMPRODUCT((dataset!$C$2:$C$807=$A222)*dataset!$I$2:$I$807)/SUMPRODUCT((dataset!$C$2:$C$807=$A222)*(dataset!$I$2:$I$807&lt;&gt;"")),"")</f>
        <v/>
      </c>
      <c r="G222" s="3">
        <f>IFERROR(SUMPRODUCT((dataset!$C$2:$C$807=$A222)*dataset!$J$2:$J$807)/SUMPRODUCT((dataset!$C$2:$C$807=$A222)*(dataset!$J$2:$J$807&lt;&gt;"")),"")</f>
        <v/>
      </c>
    </row>
    <row r="223">
      <c r="A223" s="2" t="inlineStr">
        <is>
          <t>Grace Burton</t>
        </is>
      </c>
      <c r="B223" s="2">
        <f>SUMPRODUCT(--(dataset!$C$2:$C$807=$A223))</f>
        <v/>
      </c>
      <c r="C223" s="3">
        <f>SUMPRODUCT((dataset!$C$2:$C$807=$A223)*dataset!$B$2:$B$807)/B223</f>
        <v/>
      </c>
      <c r="D223" s="2">
        <f>_xlfn.MINIFS(dataset!$B$2:$B$807,dataset!$C$2:$C$807,$A223)</f>
        <v/>
      </c>
      <c r="E223" s="2">
        <f>_xlfn.MAXIFS(dataset!$B$2:$B$807,dataset!$C$2:$C$807,$A223)</f>
        <v/>
      </c>
      <c r="F223" s="3">
        <f>IFERROR(SUMPRODUCT((dataset!$C$2:$C$807=$A223)*dataset!$I$2:$I$807)/SUMPRODUCT((dataset!$C$2:$C$807=$A223)*(dataset!$I$2:$I$807&lt;&gt;"")),"")</f>
        <v/>
      </c>
      <c r="G223" s="3">
        <f>IFERROR(SUMPRODUCT((dataset!$C$2:$C$807=$A223)*dataset!$J$2:$J$807)/SUMPRODUCT((dataset!$C$2:$C$807=$A223)*(dataset!$J$2:$J$807&lt;&gt;"")),"")</f>
        <v/>
      </c>
    </row>
    <row r="224">
      <c r="A224" s="2" t="inlineStr">
        <is>
          <t>Grace Walls Linn</t>
        </is>
      </c>
      <c r="B224" s="2">
        <f>SUMPRODUCT(--(dataset!$C$2:$C$807=$A224))</f>
        <v/>
      </c>
      <c r="C224" s="3">
        <f>SUMPRODUCT((dataset!$C$2:$C$807=$A224)*dataset!$B$2:$B$807)/B224</f>
        <v/>
      </c>
      <c r="D224" s="2">
        <f>_xlfn.MINIFS(dataset!$B$2:$B$807,dataset!$C$2:$C$807,$A224)</f>
        <v/>
      </c>
      <c r="E224" s="2">
        <f>_xlfn.MAXIFS(dataset!$B$2:$B$807,dataset!$C$2:$C$807,$A224)</f>
        <v/>
      </c>
      <c r="F224" s="3">
        <f>IFERROR(SUMPRODUCT((dataset!$C$2:$C$807=$A224)*dataset!$I$2:$I$807)/SUMPRODUCT((dataset!$C$2:$C$807=$A224)*(dataset!$I$2:$I$807&lt;&gt;"")),"")</f>
        <v/>
      </c>
      <c r="G224" s="3">
        <f>IFERROR(SUMPRODUCT((dataset!$C$2:$C$807=$A224)*dataset!$J$2:$J$807)/SUMPRODUCT((dataset!$C$2:$C$807=$A224)*(dataset!$J$2:$J$807&lt;&gt;"")),"")</f>
        <v/>
      </c>
    </row>
    <row r="225">
      <c r="A225" s="2" t="inlineStr">
        <is>
          <t>Grayson Grundahl</t>
        </is>
      </c>
      <c r="B225" s="2">
        <f>SUMPRODUCT(--(dataset!$C$2:$C$807=$A225))</f>
        <v/>
      </c>
      <c r="C225" s="3">
        <f>SUMPRODUCT((dataset!$C$2:$C$807=$A225)*dataset!$B$2:$B$807)/B225</f>
        <v/>
      </c>
      <c r="D225" s="2">
        <f>_xlfn.MINIFS(dataset!$B$2:$B$807,dataset!$C$2:$C$807,$A225)</f>
        <v/>
      </c>
      <c r="E225" s="2">
        <f>_xlfn.MAXIFS(dataset!$B$2:$B$807,dataset!$C$2:$C$807,$A225)</f>
        <v/>
      </c>
      <c r="F225" s="3">
        <f>IFERROR(SUMPRODUCT((dataset!$C$2:$C$807=$A225)*dataset!$I$2:$I$807)/SUMPRODUCT((dataset!$C$2:$C$807=$A225)*(dataset!$I$2:$I$807&lt;&gt;"")),"")</f>
        <v/>
      </c>
      <c r="G225" s="3">
        <f>IFERROR(SUMPRODUCT((dataset!$C$2:$C$807=$A225)*dataset!$J$2:$J$807)/SUMPRODUCT((dataset!$C$2:$C$807=$A225)*(dataset!$J$2:$J$807&lt;&gt;"")),"")</f>
        <v/>
      </c>
    </row>
    <row r="226">
      <c r="A226" s="2" t="inlineStr">
        <is>
          <t>Gunna &amp; Young Thug</t>
        </is>
      </c>
      <c r="B226" s="2">
        <f>SUMPRODUCT(--(dataset!$C$2:$C$807=$A226))</f>
        <v/>
      </c>
      <c r="C226" s="3">
        <f>SUMPRODUCT((dataset!$C$2:$C$807=$A226)*dataset!$B$2:$B$807)/B226</f>
        <v/>
      </c>
      <c r="D226" s="2">
        <f>_xlfn.MINIFS(dataset!$B$2:$B$807,dataset!$C$2:$C$807,$A226)</f>
        <v/>
      </c>
      <c r="E226" s="2">
        <f>_xlfn.MAXIFS(dataset!$B$2:$B$807,dataset!$C$2:$C$807,$A226)</f>
        <v/>
      </c>
      <c r="F226" s="3">
        <f>IFERROR(SUMPRODUCT((dataset!$C$2:$C$807=$A226)*dataset!$I$2:$I$807)/SUMPRODUCT((dataset!$C$2:$C$807=$A226)*(dataset!$I$2:$I$807&lt;&gt;"")),"")</f>
        <v/>
      </c>
      <c r="G226" s="3">
        <f>IFERROR(SUMPRODUCT((dataset!$C$2:$C$807=$A226)*dataset!$J$2:$J$807)/SUMPRODUCT((dataset!$C$2:$C$807=$A226)*(dataset!$J$2:$J$807&lt;&gt;"")),"")</f>
        <v/>
      </c>
    </row>
    <row r="227">
      <c r="A227" s="2" t="inlineStr">
        <is>
          <t>Gustav Holst</t>
        </is>
      </c>
      <c r="B227" s="2">
        <f>SUMPRODUCT(--(dataset!$C$2:$C$807=$A227))</f>
        <v/>
      </c>
      <c r="C227" s="3">
        <f>SUMPRODUCT((dataset!$C$2:$C$807=$A227)*dataset!$B$2:$B$807)/B227</f>
        <v/>
      </c>
      <c r="D227" s="2">
        <f>_xlfn.MINIFS(dataset!$B$2:$B$807,dataset!$C$2:$C$807,$A227)</f>
        <v/>
      </c>
      <c r="E227" s="2">
        <f>_xlfn.MAXIFS(dataset!$B$2:$B$807,dataset!$C$2:$C$807,$A227)</f>
        <v/>
      </c>
      <c r="F227" s="3">
        <f>IFERROR(SUMPRODUCT((dataset!$C$2:$C$807=$A227)*dataset!$I$2:$I$807)/SUMPRODUCT((dataset!$C$2:$C$807=$A227)*(dataset!$I$2:$I$807&lt;&gt;"")),"")</f>
        <v/>
      </c>
      <c r="G227" s="3">
        <f>IFERROR(SUMPRODUCT((dataset!$C$2:$C$807=$A227)*dataset!$J$2:$J$807)/SUMPRODUCT((dataset!$C$2:$C$807=$A227)*(dataset!$J$2:$J$807&lt;&gt;"")),"")</f>
        <v/>
      </c>
    </row>
    <row r="228">
      <c r="A228" s="2" t="inlineStr">
        <is>
          <t>Gwendolyn Stevenson</t>
        </is>
      </c>
      <c r="B228" s="2">
        <f>SUMPRODUCT(--(dataset!$C$2:$C$807=$A228))</f>
        <v/>
      </c>
      <c r="C228" s="3">
        <f>SUMPRODUCT((dataset!$C$2:$C$807=$A228)*dataset!$B$2:$B$807)/B228</f>
        <v/>
      </c>
      <c r="D228" s="2">
        <f>_xlfn.MINIFS(dataset!$B$2:$B$807,dataset!$C$2:$C$807,$A228)</f>
        <v/>
      </c>
      <c r="E228" s="2">
        <f>_xlfn.MAXIFS(dataset!$B$2:$B$807,dataset!$C$2:$C$807,$A228)</f>
        <v/>
      </c>
      <c r="F228" s="3">
        <f>IFERROR(SUMPRODUCT((dataset!$C$2:$C$807=$A228)*dataset!$I$2:$I$807)/SUMPRODUCT((dataset!$C$2:$C$807=$A228)*(dataset!$I$2:$I$807&lt;&gt;"")),"")</f>
        <v/>
      </c>
      <c r="G228" s="3">
        <f>IFERROR(SUMPRODUCT((dataset!$C$2:$C$807=$A228)*dataset!$J$2:$J$807)/SUMPRODUCT((dataset!$C$2:$C$807=$A228)*(dataset!$J$2:$J$807&lt;&gt;"")),"")</f>
        <v/>
      </c>
    </row>
    <row r="229">
      <c r="A229" s="2" t="inlineStr">
        <is>
          <t>H. Engelmann</t>
        </is>
      </c>
      <c r="B229" s="2">
        <f>SUMPRODUCT(--(dataset!$C$2:$C$807=$A229))</f>
        <v/>
      </c>
      <c r="C229" s="3">
        <f>SUMPRODUCT((dataset!$C$2:$C$807=$A229)*dataset!$B$2:$B$807)/B229</f>
        <v/>
      </c>
      <c r="D229" s="2">
        <f>_xlfn.MINIFS(dataset!$B$2:$B$807,dataset!$C$2:$C$807,$A229)</f>
        <v/>
      </c>
      <c r="E229" s="2">
        <f>_xlfn.MAXIFS(dataset!$B$2:$B$807,dataset!$C$2:$C$807,$A229)</f>
        <v/>
      </c>
      <c r="F229" s="3">
        <f>IFERROR(SUMPRODUCT((dataset!$C$2:$C$807=$A229)*dataset!$I$2:$I$807)/SUMPRODUCT((dataset!$C$2:$C$807=$A229)*(dataset!$I$2:$I$807&lt;&gt;"")),"")</f>
        <v/>
      </c>
      <c r="G229" s="3">
        <f>IFERROR(SUMPRODUCT((dataset!$C$2:$C$807=$A229)*dataset!$J$2:$J$807)/SUMPRODUCT((dataset!$C$2:$C$807=$A229)*(dataset!$J$2:$J$807&lt;&gt;"")),"")</f>
        <v/>
      </c>
    </row>
    <row r="230">
      <c r="A230" s="2" t="inlineStr">
        <is>
          <t>H. Herrmann</t>
        </is>
      </c>
      <c r="B230" s="2">
        <f>SUMPRODUCT(--(dataset!$C$2:$C$807=$A230))</f>
        <v/>
      </c>
      <c r="C230" s="3">
        <f>SUMPRODUCT((dataset!$C$2:$C$807=$A230)*dataset!$B$2:$B$807)/B230</f>
        <v/>
      </c>
      <c r="D230" s="2">
        <f>_xlfn.MINIFS(dataset!$B$2:$B$807,dataset!$C$2:$C$807,$A230)</f>
        <v/>
      </c>
      <c r="E230" s="2">
        <f>_xlfn.MAXIFS(dataset!$B$2:$B$807,dataset!$C$2:$C$807,$A230)</f>
        <v/>
      </c>
      <c r="F230" s="3">
        <f>IFERROR(SUMPRODUCT((dataset!$C$2:$C$807=$A230)*dataset!$I$2:$I$807)/SUMPRODUCT((dataset!$C$2:$C$807=$A230)*(dataset!$I$2:$I$807&lt;&gt;"")),"")</f>
        <v/>
      </c>
      <c r="G230" s="3">
        <f>IFERROR(SUMPRODUCT((dataset!$C$2:$C$807=$A230)*dataset!$J$2:$J$807)/SUMPRODUCT((dataset!$C$2:$C$807=$A230)*(dataset!$J$2:$J$807&lt;&gt;"")),"")</f>
        <v/>
      </c>
    </row>
    <row r="231">
      <c r="A231" s="2" t="inlineStr">
        <is>
          <t>H. T. Burleigh</t>
        </is>
      </c>
      <c r="B231" s="2">
        <f>SUMPRODUCT(--(dataset!$C$2:$C$807=$A231))</f>
        <v/>
      </c>
      <c r="C231" s="3">
        <f>SUMPRODUCT((dataset!$C$2:$C$807=$A231)*dataset!$B$2:$B$807)/B231</f>
        <v/>
      </c>
      <c r="D231" s="2">
        <f>_xlfn.MINIFS(dataset!$B$2:$B$807,dataset!$C$2:$C$807,$A231)</f>
        <v/>
      </c>
      <c r="E231" s="2">
        <f>_xlfn.MAXIFS(dataset!$B$2:$B$807,dataset!$C$2:$C$807,$A231)</f>
        <v/>
      </c>
      <c r="F231" s="3">
        <f>IFERROR(SUMPRODUCT((dataset!$C$2:$C$807=$A231)*dataset!$I$2:$I$807)/SUMPRODUCT((dataset!$C$2:$C$807=$A231)*(dataset!$I$2:$I$807&lt;&gt;"")),"")</f>
        <v/>
      </c>
      <c r="G231" s="3">
        <f>IFERROR(SUMPRODUCT((dataset!$C$2:$C$807=$A231)*dataset!$J$2:$J$807)/SUMPRODUCT((dataset!$C$2:$C$807=$A231)*(dataset!$J$2:$J$807&lt;&gt;"")),"")</f>
        <v/>
      </c>
    </row>
    <row r="232">
      <c r="A232" s="2" t="inlineStr">
        <is>
          <t>Hamish MacCunn</t>
        </is>
      </c>
      <c r="B232" s="2">
        <f>SUMPRODUCT(--(dataset!$C$2:$C$807=$A232))</f>
        <v/>
      </c>
      <c r="C232" s="3">
        <f>SUMPRODUCT((dataset!$C$2:$C$807=$A232)*dataset!$B$2:$B$807)/B232</f>
        <v/>
      </c>
      <c r="D232" s="2">
        <f>_xlfn.MINIFS(dataset!$B$2:$B$807,dataset!$C$2:$C$807,$A232)</f>
        <v/>
      </c>
      <c r="E232" s="2">
        <f>_xlfn.MAXIFS(dataset!$B$2:$B$807,dataset!$C$2:$C$807,$A232)</f>
        <v/>
      </c>
      <c r="F232" s="3">
        <f>IFERROR(SUMPRODUCT((dataset!$C$2:$C$807=$A232)*dataset!$I$2:$I$807)/SUMPRODUCT((dataset!$C$2:$C$807=$A232)*(dataset!$I$2:$I$807&lt;&gt;"")),"")</f>
        <v/>
      </c>
      <c r="G232" s="3">
        <f>IFERROR(SUMPRODUCT((dataset!$C$2:$C$807=$A232)*dataset!$J$2:$J$807)/SUMPRODUCT((dataset!$C$2:$C$807=$A232)*(dataset!$J$2:$J$807&lt;&gt;"")),"")</f>
        <v/>
      </c>
    </row>
    <row r="233">
      <c r="A233" s="2" t="inlineStr">
        <is>
          <t>Harold Potter</t>
        </is>
      </c>
      <c r="B233" s="2">
        <f>SUMPRODUCT(--(dataset!$C$2:$C$807=$A233))</f>
        <v/>
      </c>
      <c r="C233" s="3">
        <f>SUMPRODUCT((dataset!$C$2:$C$807=$A233)*dataset!$B$2:$B$807)/B233</f>
        <v/>
      </c>
      <c r="D233" s="2">
        <f>_xlfn.MINIFS(dataset!$B$2:$B$807,dataset!$C$2:$C$807,$A233)</f>
        <v/>
      </c>
      <c r="E233" s="2">
        <f>_xlfn.MAXIFS(dataset!$B$2:$B$807,dataset!$C$2:$C$807,$A233)</f>
        <v/>
      </c>
      <c r="F233" s="3">
        <f>IFERROR(SUMPRODUCT((dataset!$C$2:$C$807=$A233)*dataset!$I$2:$I$807)/SUMPRODUCT((dataset!$C$2:$C$807=$A233)*(dataset!$I$2:$I$807&lt;&gt;"")),"")</f>
        <v/>
      </c>
      <c r="G233" s="3">
        <f>IFERROR(SUMPRODUCT((dataset!$C$2:$C$807=$A233)*dataset!$J$2:$J$807)/SUMPRODUCT((dataset!$C$2:$C$807=$A233)*(dataset!$J$2:$J$807&lt;&gt;"")),"")</f>
        <v/>
      </c>
    </row>
    <row r="234">
      <c r="A234" s="2" t="inlineStr">
        <is>
          <t>Harry L. Cook</t>
        </is>
      </c>
      <c r="B234" s="2">
        <f>SUMPRODUCT(--(dataset!$C$2:$C$807=$A234))</f>
        <v/>
      </c>
      <c r="C234" s="3">
        <f>SUMPRODUCT((dataset!$C$2:$C$807=$A234)*dataset!$B$2:$B$807)/B234</f>
        <v/>
      </c>
      <c r="D234" s="2">
        <f>_xlfn.MINIFS(dataset!$B$2:$B$807,dataset!$C$2:$C$807,$A234)</f>
        <v/>
      </c>
      <c r="E234" s="2">
        <f>_xlfn.MAXIFS(dataset!$B$2:$B$807,dataset!$C$2:$C$807,$A234)</f>
        <v/>
      </c>
      <c r="F234" s="3">
        <f>IFERROR(SUMPRODUCT((dataset!$C$2:$C$807=$A234)*dataset!$I$2:$I$807)/SUMPRODUCT((dataset!$C$2:$C$807=$A234)*(dataset!$I$2:$I$807&lt;&gt;"")),"")</f>
        <v/>
      </c>
      <c r="G234" s="3">
        <f>IFERROR(SUMPRODUCT((dataset!$C$2:$C$807=$A234)*dataset!$J$2:$J$807)/SUMPRODUCT((dataset!$C$2:$C$807=$A234)*(dataset!$J$2:$J$807&lt;&gt;"")),"")</f>
        <v/>
      </c>
    </row>
    <row r="235">
      <c r="A235" s="2" t="inlineStr">
        <is>
          <t>Harry Styles &amp; Thomas Hull</t>
        </is>
      </c>
      <c r="B235" s="2">
        <f>SUMPRODUCT(--(dataset!$C$2:$C$807=$A235))</f>
        <v/>
      </c>
      <c r="C235" s="3">
        <f>SUMPRODUCT((dataset!$C$2:$C$807=$A235)*dataset!$B$2:$B$807)/B235</f>
        <v/>
      </c>
      <c r="D235" s="2">
        <f>_xlfn.MINIFS(dataset!$B$2:$B$807,dataset!$C$2:$C$807,$A235)</f>
        <v/>
      </c>
      <c r="E235" s="2">
        <f>_xlfn.MAXIFS(dataset!$B$2:$B$807,dataset!$C$2:$C$807,$A235)</f>
        <v/>
      </c>
      <c r="F235" s="3">
        <f>IFERROR(SUMPRODUCT((dataset!$C$2:$C$807=$A235)*dataset!$I$2:$I$807)/SUMPRODUCT((dataset!$C$2:$C$807=$A235)*(dataset!$I$2:$I$807&lt;&gt;"")),"")</f>
        <v/>
      </c>
      <c r="G235" s="3">
        <f>IFERROR(SUMPRODUCT((dataset!$C$2:$C$807=$A235)*dataset!$J$2:$J$807)/SUMPRODUCT((dataset!$C$2:$C$807=$A235)*(dataset!$J$2:$J$807&lt;&gt;"")),"")</f>
        <v/>
      </c>
    </row>
    <row r="236">
      <c r="A236" s="2" t="inlineStr">
        <is>
          <t>Harumi Fujita &amp; Yoko Shimomura</t>
        </is>
      </c>
      <c r="B236" s="2">
        <f>SUMPRODUCT(--(dataset!$C$2:$C$807=$A236))</f>
        <v/>
      </c>
      <c r="C236" s="3">
        <f>SUMPRODUCT((dataset!$C$2:$C$807=$A236)*dataset!$B$2:$B$807)/B236</f>
        <v/>
      </c>
      <c r="D236" s="2">
        <f>_xlfn.MINIFS(dataset!$B$2:$B$807,dataset!$C$2:$C$807,$A236)</f>
        <v/>
      </c>
      <c r="E236" s="2">
        <f>_xlfn.MAXIFS(dataset!$B$2:$B$807,dataset!$C$2:$C$807,$A236)</f>
        <v/>
      </c>
      <c r="F236" s="3">
        <f>IFERROR(SUMPRODUCT((dataset!$C$2:$C$807=$A236)*dataset!$I$2:$I$807)/SUMPRODUCT((dataset!$C$2:$C$807=$A236)*(dataset!$I$2:$I$807&lt;&gt;"")),"")</f>
        <v/>
      </c>
      <c r="G236" s="3">
        <f>IFERROR(SUMPRODUCT((dataset!$C$2:$C$807=$A236)*dataset!$J$2:$J$807)/SUMPRODUCT((dataset!$C$2:$C$807=$A236)*(dataset!$J$2:$J$807&lt;&gt;"")),"")</f>
        <v/>
      </c>
    </row>
    <row r="237">
      <c r="A237" s="2" t="inlineStr">
        <is>
          <t>Heath</t>
        </is>
      </c>
      <c r="B237" s="2">
        <f>SUMPRODUCT(--(dataset!$C$2:$C$807=$A237))</f>
        <v/>
      </c>
      <c r="C237" s="3">
        <f>SUMPRODUCT((dataset!$C$2:$C$807=$A237)*dataset!$B$2:$B$807)/B237</f>
        <v/>
      </c>
      <c r="D237" s="2">
        <f>_xlfn.MINIFS(dataset!$B$2:$B$807,dataset!$C$2:$C$807,$A237)</f>
        <v/>
      </c>
      <c r="E237" s="2">
        <f>_xlfn.MAXIFS(dataset!$B$2:$B$807,dataset!$C$2:$C$807,$A237)</f>
        <v/>
      </c>
      <c r="F237" s="3">
        <f>IFERROR(SUMPRODUCT((dataset!$C$2:$C$807=$A237)*dataset!$I$2:$I$807)/SUMPRODUCT((dataset!$C$2:$C$807=$A237)*(dataset!$I$2:$I$807&lt;&gt;"")),"")</f>
        <v/>
      </c>
      <c r="G237" s="3">
        <f>IFERROR(SUMPRODUCT((dataset!$C$2:$C$807=$A237)*dataset!$J$2:$J$807)/SUMPRODUCT((dataset!$C$2:$C$807=$A237)*(dataset!$J$2:$J$807&lt;&gt;"")),"")</f>
        <v/>
      </c>
    </row>
    <row r="238">
      <c r="A238" s="2" t="inlineStr">
        <is>
          <t>Hector Garcia</t>
        </is>
      </c>
      <c r="B238" s="2">
        <f>SUMPRODUCT(--(dataset!$C$2:$C$807=$A238))</f>
        <v/>
      </c>
      <c r="C238" s="3">
        <f>SUMPRODUCT((dataset!$C$2:$C$807=$A238)*dataset!$B$2:$B$807)/B238</f>
        <v/>
      </c>
      <c r="D238" s="2">
        <f>_xlfn.MINIFS(dataset!$B$2:$B$807,dataset!$C$2:$C$807,$A238)</f>
        <v/>
      </c>
      <c r="E238" s="2">
        <f>_xlfn.MAXIFS(dataset!$B$2:$B$807,dataset!$C$2:$C$807,$A238)</f>
        <v/>
      </c>
      <c r="F238" s="3">
        <f>IFERROR(SUMPRODUCT((dataset!$C$2:$C$807=$A238)*dataset!$I$2:$I$807)/SUMPRODUCT((dataset!$C$2:$C$807=$A238)*(dataset!$I$2:$I$807&lt;&gt;"")),"")</f>
        <v/>
      </c>
      <c r="G238" s="3">
        <f>IFERROR(SUMPRODUCT((dataset!$C$2:$C$807=$A238)*dataset!$J$2:$J$807)/SUMPRODUCT((dataset!$C$2:$C$807=$A238)*(dataset!$J$2:$J$807&lt;&gt;"")),"")</f>
        <v/>
      </c>
    </row>
    <row r="239">
      <c r="A239" s="2" t="inlineStr">
        <is>
          <t>Henry Eikmeier</t>
        </is>
      </c>
      <c r="B239" s="2">
        <f>SUMPRODUCT(--(dataset!$C$2:$C$807=$A239))</f>
        <v/>
      </c>
      <c r="C239" s="3">
        <f>SUMPRODUCT((dataset!$C$2:$C$807=$A239)*dataset!$B$2:$B$807)/B239</f>
        <v/>
      </c>
      <c r="D239" s="2">
        <f>_xlfn.MINIFS(dataset!$B$2:$B$807,dataset!$C$2:$C$807,$A239)</f>
        <v/>
      </c>
      <c r="E239" s="2">
        <f>_xlfn.MAXIFS(dataset!$B$2:$B$807,dataset!$C$2:$C$807,$A239)</f>
        <v/>
      </c>
      <c r="F239" s="3">
        <f>IFERROR(SUMPRODUCT((dataset!$C$2:$C$807=$A239)*dataset!$I$2:$I$807)/SUMPRODUCT((dataset!$C$2:$C$807=$A239)*(dataset!$I$2:$I$807&lt;&gt;"")),"")</f>
        <v/>
      </c>
      <c r="G239" s="3">
        <f>IFERROR(SUMPRODUCT((dataset!$C$2:$C$807=$A239)*dataset!$J$2:$J$807)/SUMPRODUCT((dataset!$C$2:$C$807=$A239)*(dataset!$J$2:$J$807&lt;&gt;"")),"")</f>
        <v/>
      </c>
    </row>
    <row r="240">
      <c r="A240" s="2" t="inlineStr">
        <is>
          <t>Henry Frantzen</t>
        </is>
      </c>
      <c r="B240" s="2">
        <f>SUMPRODUCT(--(dataset!$C$2:$C$807=$A240))</f>
        <v/>
      </c>
      <c r="C240" s="3">
        <f>SUMPRODUCT((dataset!$C$2:$C$807=$A240)*dataset!$B$2:$B$807)/B240</f>
        <v/>
      </c>
      <c r="D240" s="2">
        <f>_xlfn.MINIFS(dataset!$B$2:$B$807,dataset!$C$2:$C$807,$A240)</f>
        <v/>
      </c>
      <c r="E240" s="2">
        <f>_xlfn.MAXIFS(dataset!$B$2:$B$807,dataset!$C$2:$C$807,$A240)</f>
        <v/>
      </c>
      <c r="F240" s="3">
        <f>IFERROR(SUMPRODUCT((dataset!$C$2:$C$807=$A240)*dataset!$I$2:$I$807)/SUMPRODUCT((dataset!$C$2:$C$807=$A240)*(dataset!$I$2:$I$807&lt;&gt;"")),"")</f>
        <v/>
      </c>
      <c r="G240" s="3">
        <f>IFERROR(SUMPRODUCT((dataset!$C$2:$C$807=$A240)*dataset!$J$2:$J$807)/SUMPRODUCT((dataset!$C$2:$C$807=$A240)*(dataset!$J$2:$J$807&lt;&gt;"")),"")</f>
        <v/>
      </c>
    </row>
    <row r="241">
      <c r="A241" s="2" t="inlineStr">
        <is>
          <t>Henry Lemoine</t>
        </is>
      </c>
      <c r="B241" s="2">
        <f>SUMPRODUCT(--(dataset!$C$2:$C$807=$A241))</f>
        <v/>
      </c>
      <c r="C241" s="3">
        <f>SUMPRODUCT((dataset!$C$2:$C$807=$A241)*dataset!$B$2:$B$807)/B241</f>
        <v/>
      </c>
      <c r="D241" s="2">
        <f>_xlfn.MINIFS(dataset!$B$2:$B$807,dataset!$C$2:$C$807,$A241)</f>
        <v/>
      </c>
      <c r="E241" s="2">
        <f>_xlfn.MAXIFS(dataset!$B$2:$B$807,dataset!$C$2:$C$807,$A241)</f>
        <v/>
      </c>
      <c r="F241" s="3">
        <f>IFERROR(SUMPRODUCT((dataset!$C$2:$C$807=$A241)*dataset!$I$2:$I$807)/SUMPRODUCT((dataset!$C$2:$C$807=$A241)*(dataset!$I$2:$I$807&lt;&gt;"")),"")</f>
        <v/>
      </c>
      <c r="G241" s="3">
        <f>IFERROR(SUMPRODUCT((dataset!$C$2:$C$807=$A241)*dataset!$J$2:$J$807)/SUMPRODUCT((dataset!$C$2:$C$807=$A241)*(dataset!$J$2:$J$807&lt;&gt;"")),"")</f>
        <v/>
      </c>
    </row>
    <row r="242">
      <c r="A242" s="2" t="inlineStr">
        <is>
          <t>Henry Purcell</t>
        </is>
      </c>
      <c r="B242" s="2">
        <f>SUMPRODUCT(--(dataset!$C$2:$C$807=$A242))</f>
        <v/>
      </c>
      <c r="C242" s="3">
        <f>SUMPRODUCT((dataset!$C$2:$C$807=$A242)*dataset!$B$2:$B$807)/B242</f>
        <v/>
      </c>
      <c r="D242" s="2">
        <f>_xlfn.MINIFS(dataset!$B$2:$B$807,dataset!$C$2:$C$807,$A242)</f>
        <v/>
      </c>
      <c r="E242" s="2">
        <f>_xlfn.MAXIFS(dataset!$B$2:$B$807,dataset!$C$2:$C$807,$A242)</f>
        <v/>
      </c>
      <c r="F242" s="3">
        <f>IFERROR(SUMPRODUCT((dataset!$C$2:$C$807=$A242)*dataset!$I$2:$I$807)/SUMPRODUCT((dataset!$C$2:$C$807=$A242)*(dataset!$I$2:$I$807&lt;&gt;"")),"")</f>
        <v/>
      </c>
      <c r="G242" s="3">
        <f>IFERROR(SUMPRODUCT((dataset!$C$2:$C$807=$A242)*dataset!$J$2:$J$807)/SUMPRODUCT((dataset!$C$2:$C$807=$A242)*(dataset!$J$2:$J$807&lt;&gt;"")),"")</f>
        <v/>
      </c>
    </row>
    <row r="243">
      <c r="A243" s="2" t="inlineStr">
        <is>
          <t>Herbert Spencer</t>
        </is>
      </c>
      <c r="B243" s="2">
        <f>SUMPRODUCT(--(dataset!$C$2:$C$807=$A243))</f>
        <v/>
      </c>
      <c r="C243" s="3">
        <f>SUMPRODUCT((dataset!$C$2:$C$807=$A243)*dataset!$B$2:$B$807)/B243</f>
        <v/>
      </c>
      <c r="D243" s="2">
        <f>_xlfn.MINIFS(dataset!$B$2:$B$807,dataset!$C$2:$C$807,$A243)</f>
        <v/>
      </c>
      <c r="E243" s="2">
        <f>_xlfn.MAXIFS(dataset!$B$2:$B$807,dataset!$C$2:$C$807,$A243)</f>
        <v/>
      </c>
      <c r="F243" s="3">
        <f>IFERROR(SUMPRODUCT((dataset!$C$2:$C$807=$A243)*dataset!$I$2:$I$807)/SUMPRODUCT((dataset!$C$2:$C$807=$A243)*(dataset!$I$2:$I$807&lt;&gt;"")),"")</f>
        <v/>
      </c>
      <c r="G243" s="3">
        <f>IFERROR(SUMPRODUCT((dataset!$C$2:$C$807=$A243)*dataset!$J$2:$J$807)/SUMPRODUCT((dataset!$C$2:$C$807=$A243)*(dataset!$J$2:$J$807&lt;&gt;"")),"")</f>
        <v/>
      </c>
    </row>
    <row r="244">
      <c r="A244" s="2" t="inlineStr">
        <is>
          <t>Hirokazu Tanaka</t>
        </is>
      </c>
      <c r="B244" s="2">
        <f>SUMPRODUCT(--(dataset!$C$2:$C$807=$A244))</f>
        <v/>
      </c>
      <c r="C244" s="3">
        <f>SUMPRODUCT((dataset!$C$2:$C$807=$A244)*dataset!$B$2:$B$807)/B244</f>
        <v/>
      </c>
      <c r="D244" s="2">
        <f>_xlfn.MINIFS(dataset!$B$2:$B$807,dataset!$C$2:$C$807,$A244)</f>
        <v/>
      </c>
      <c r="E244" s="2">
        <f>_xlfn.MAXIFS(dataset!$B$2:$B$807,dataset!$C$2:$C$807,$A244)</f>
        <v/>
      </c>
      <c r="F244" s="3">
        <f>IFERROR(SUMPRODUCT((dataset!$C$2:$C$807=$A244)*dataset!$I$2:$I$807)/SUMPRODUCT((dataset!$C$2:$C$807=$A244)*(dataset!$I$2:$I$807&lt;&gt;"")),"")</f>
        <v/>
      </c>
      <c r="G244" s="3">
        <f>IFERROR(SUMPRODUCT((dataset!$C$2:$C$807=$A244)*dataset!$J$2:$J$807)/SUMPRODUCT((dataset!$C$2:$C$807=$A244)*(dataset!$J$2:$J$807&lt;&gt;"")),"")</f>
        <v/>
      </c>
    </row>
    <row r="245">
      <c r="A245" s="2" t="inlineStr">
        <is>
          <t>Hiroki Morishita &amp; Rei Kondoh</t>
        </is>
      </c>
      <c r="B245" s="2">
        <f>SUMPRODUCT(--(dataset!$C$2:$C$807=$A245))</f>
        <v/>
      </c>
      <c r="C245" s="3">
        <f>SUMPRODUCT((dataset!$C$2:$C$807=$A245)*dataset!$B$2:$B$807)/B245</f>
        <v/>
      </c>
      <c r="D245" s="2">
        <f>_xlfn.MINIFS(dataset!$B$2:$B$807,dataset!$C$2:$C$807,$A245)</f>
        <v/>
      </c>
      <c r="E245" s="2">
        <f>_xlfn.MAXIFS(dataset!$B$2:$B$807,dataset!$C$2:$C$807,$A245)</f>
        <v/>
      </c>
      <c r="F245" s="3">
        <f>IFERROR(SUMPRODUCT((dataset!$C$2:$C$807=$A245)*dataset!$I$2:$I$807)/SUMPRODUCT((dataset!$C$2:$C$807=$A245)*(dataset!$I$2:$I$807&lt;&gt;"")),"")</f>
        <v/>
      </c>
      <c r="G245" s="3">
        <f>IFERROR(SUMPRODUCT((dataset!$C$2:$C$807=$A245)*dataset!$J$2:$J$807)/SUMPRODUCT((dataset!$C$2:$C$807=$A245)*(dataset!$J$2:$J$807&lt;&gt;"")),"")</f>
        <v/>
      </c>
    </row>
    <row r="246">
      <c r="A246" s="2" t="inlineStr">
        <is>
          <t>HIRWA Florent</t>
        </is>
      </c>
      <c r="B246" s="2">
        <f>SUMPRODUCT(--(dataset!$C$2:$C$807=$A246))</f>
        <v/>
      </c>
      <c r="C246" s="3">
        <f>SUMPRODUCT((dataset!$C$2:$C$807=$A246)*dataset!$B$2:$B$807)/B246</f>
        <v/>
      </c>
      <c r="D246" s="2">
        <f>_xlfn.MINIFS(dataset!$B$2:$B$807,dataset!$C$2:$C$807,$A246)</f>
        <v/>
      </c>
      <c r="E246" s="2">
        <f>_xlfn.MAXIFS(dataset!$B$2:$B$807,dataset!$C$2:$C$807,$A246)</f>
        <v/>
      </c>
      <c r="F246" s="3">
        <f>IFERROR(SUMPRODUCT((dataset!$C$2:$C$807=$A246)*dataset!$I$2:$I$807)/SUMPRODUCT((dataset!$C$2:$C$807=$A246)*(dataset!$I$2:$I$807&lt;&gt;"")),"")</f>
        <v/>
      </c>
      <c r="G246" s="3">
        <f>IFERROR(SUMPRODUCT((dataset!$C$2:$C$807=$A246)*dataset!$J$2:$J$807)/SUMPRODUCT((dataset!$C$2:$C$807=$A246)*(dataset!$J$2:$J$807&lt;&gt;"")),"")</f>
        <v/>
      </c>
    </row>
    <row r="247">
      <c r="A247" s="2" t="inlineStr">
        <is>
          <t>Hitomi Sato</t>
        </is>
      </c>
      <c r="B247" s="2">
        <f>SUMPRODUCT(--(dataset!$C$2:$C$807=$A247))</f>
        <v/>
      </c>
      <c r="C247" s="3">
        <f>SUMPRODUCT((dataset!$C$2:$C$807=$A247)*dataset!$B$2:$B$807)/B247</f>
        <v/>
      </c>
      <c r="D247" s="2">
        <f>_xlfn.MINIFS(dataset!$B$2:$B$807,dataset!$C$2:$C$807,$A247)</f>
        <v/>
      </c>
      <c r="E247" s="2">
        <f>_xlfn.MAXIFS(dataset!$B$2:$B$807,dataset!$C$2:$C$807,$A247)</f>
        <v/>
      </c>
      <c r="F247" s="3">
        <f>IFERROR(SUMPRODUCT((dataset!$C$2:$C$807=$A247)*dataset!$I$2:$I$807)/SUMPRODUCT((dataset!$C$2:$C$807=$A247)*(dataset!$I$2:$I$807&lt;&gt;"")),"")</f>
        <v/>
      </c>
      <c r="G247" s="3">
        <f>IFERROR(SUMPRODUCT((dataset!$C$2:$C$807=$A247)*dataset!$J$2:$J$807)/SUMPRODUCT((dataset!$C$2:$C$807=$A247)*(dataset!$J$2:$J$807&lt;&gt;"")),"")</f>
        <v/>
      </c>
    </row>
    <row r="248">
      <c r="A248" s="2" t="inlineStr">
        <is>
          <t>Hoagy Carmichael</t>
        </is>
      </c>
      <c r="B248" s="2">
        <f>SUMPRODUCT(--(dataset!$C$2:$C$807=$A248))</f>
        <v/>
      </c>
      <c r="C248" s="3">
        <f>SUMPRODUCT((dataset!$C$2:$C$807=$A248)*dataset!$B$2:$B$807)/B248</f>
        <v/>
      </c>
      <c r="D248" s="2">
        <f>_xlfn.MINIFS(dataset!$B$2:$B$807,dataset!$C$2:$C$807,$A248)</f>
        <v/>
      </c>
      <c r="E248" s="2">
        <f>_xlfn.MAXIFS(dataset!$B$2:$B$807,dataset!$C$2:$C$807,$A248)</f>
        <v/>
      </c>
      <c r="F248" s="3">
        <f>IFERROR(SUMPRODUCT((dataset!$C$2:$C$807=$A248)*dataset!$I$2:$I$807)/SUMPRODUCT((dataset!$C$2:$C$807=$A248)*(dataset!$I$2:$I$807&lt;&gt;"")),"")</f>
        <v/>
      </c>
      <c r="G248" s="3">
        <f>IFERROR(SUMPRODUCT((dataset!$C$2:$C$807=$A248)*dataset!$J$2:$J$807)/SUMPRODUCT((dataset!$C$2:$C$807=$A248)*(dataset!$J$2:$J$807&lt;&gt;"")),"")</f>
        <v/>
      </c>
    </row>
    <row r="249">
      <c r="A249" s="2" t="inlineStr">
        <is>
          <t>Horst Wessel</t>
        </is>
      </c>
      <c r="B249" s="2">
        <f>SUMPRODUCT(--(dataset!$C$2:$C$807=$A249))</f>
        <v/>
      </c>
      <c r="C249" s="3">
        <f>SUMPRODUCT((dataset!$C$2:$C$807=$A249)*dataset!$B$2:$B$807)/B249</f>
        <v/>
      </c>
      <c r="D249" s="2">
        <f>_xlfn.MINIFS(dataset!$B$2:$B$807,dataset!$C$2:$C$807,$A249)</f>
        <v/>
      </c>
      <c r="E249" s="2">
        <f>_xlfn.MAXIFS(dataset!$B$2:$B$807,dataset!$C$2:$C$807,$A249)</f>
        <v/>
      </c>
      <c r="F249" s="3">
        <f>IFERROR(SUMPRODUCT((dataset!$C$2:$C$807=$A249)*dataset!$I$2:$I$807)/SUMPRODUCT((dataset!$C$2:$C$807=$A249)*(dataset!$I$2:$I$807&lt;&gt;"")),"")</f>
        <v/>
      </c>
      <c r="G249" s="3">
        <f>IFERROR(SUMPRODUCT((dataset!$C$2:$C$807=$A249)*dataset!$J$2:$J$807)/SUMPRODUCT((dataset!$C$2:$C$807=$A249)*(dataset!$J$2:$J$807&lt;&gt;"")),"")</f>
        <v/>
      </c>
    </row>
    <row r="250">
      <c r="A250" s="2" t="inlineStr">
        <is>
          <t>Hubert Bauersachs</t>
        </is>
      </c>
      <c r="B250" s="2">
        <f>SUMPRODUCT(--(dataset!$C$2:$C$807=$A250))</f>
        <v/>
      </c>
      <c r="C250" s="3">
        <f>SUMPRODUCT((dataset!$C$2:$C$807=$A250)*dataset!$B$2:$B$807)/B250</f>
        <v/>
      </c>
      <c r="D250" s="2">
        <f>_xlfn.MINIFS(dataset!$B$2:$B$807,dataset!$C$2:$C$807,$A250)</f>
        <v/>
      </c>
      <c r="E250" s="2">
        <f>_xlfn.MAXIFS(dataset!$B$2:$B$807,dataset!$C$2:$C$807,$A250)</f>
        <v/>
      </c>
      <c r="F250" s="3">
        <f>IFERROR(SUMPRODUCT((dataset!$C$2:$C$807=$A250)*dataset!$I$2:$I$807)/SUMPRODUCT((dataset!$C$2:$C$807=$A250)*(dataset!$I$2:$I$807&lt;&gt;"")),"")</f>
        <v/>
      </c>
      <c r="G250" s="3">
        <f>IFERROR(SUMPRODUCT((dataset!$C$2:$C$807=$A250)*dataset!$J$2:$J$807)/SUMPRODUCT((dataset!$C$2:$C$807=$A250)*(dataset!$J$2:$J$807&lt;&gt;"")),"")</f>
        <v/>
      </c>
    </row>
    <row r="251">
      <c r="A251" s="2" t="inlineStr">
        <is>
          <t>Illenium</t>
        </is>
      </c>
      <c r="B251" s="2">
        <f>SUMPRODUCT(--(dataset!$C$2:$C$807=$A251))</f>
        <v/>
      </c>
      <c r="C251" s="3">
        <f>SUMPRODUCT((dataset!$C$2:$C$807=$A251)*dataset!$B$2:$B$807)/B251</f>
        <v/>
      </c>
      <c r="D251" s="2">
        <f>_xlfn.MINIFS(dataset!$B$2:$B$807,dataset!$C$2:$C$807,$A251)</f>
        <v/>
      </c>
      <c r="E251" s="2">
        <f>_xlfn.MAXIFS(dataset!$B$2:$B$807,dataset!$C$2:$C$807,$A251)</f>
        <v/>
      </c>
      <c r="F251" s="3">
        <f>IFERROR(SUMPRODUCT((dataset!$C$2:$C$807=$A251)*dataset!$I$2:$I$807)/SUMPRODUCT((dataset!$C$2:$C$807=$A251)*(dataset!$I$2:$I$807&lt;&gt;"")),"")</f>
        <v/>
      </c>
      <c r="G251" s="3">
        <f>IFERROR(SUMPRODUCT((dataset!$C$2:$C$807=$A251)*dataset!$J$2:$J$807)/SUMPRODUCT((dataset!$C$2:$C$807=$A251)*(dataset!$J$2:$J$807&lt;&gt;"")),"")</f>
        <v/>
      </c>
    </row>
    <row r="252">
      <c r="A252" s="2" t="inlineStr">
        <is>
          <t>Inky Scrolls</t>
        </is>
      </c>
      <c r="B252" s="2">
        <f>SUMPRODUCT(--(dataset!$C$2:$C$807=$A252))</f>
        <v/>
      </c>
      <c r="C252" s="3">
        <f>SUMPRODUCT((dataset!$C$2:$C$807=$A252)*dataset!$B$2:$B$807)/B252</f>
        <v/>
      </c>
      <c r="D252" s="2">
        <f>_xlfn.MINIFS(dataset!$B$2:$B$807,dataset!$C$2:$C$807,$A252)</f>
        <v/>
      </c>
      <c r="E252" s="2">
        <f>_xlfn.MAXIFS(dataset!$B$2:$B$807,dataset!$C$2:$C$807,$A252)</f>
        <v/>
      </c>
      <c r="F252" s="3">
        <f>IFERROR(SUMPRODUCT((dataset!$C$2:$C$807=$A252)*dataset!$I$2:$I$807)/SUMPRODUCT((dataset!$C$2:$C$807=$A252)*(dataset!$I$2:$I$807&lt;&gt;"")),"")</f>
        <v/>
      </c>
      <c r="G252" s="3">
        <f>IFERROR(SUMPRODUCT((dataset!$C$2:$C$807=$A252)*dataset!$J$2:$J$807)/SUMPRODUCT((dataset!$C$2:$C$807=$A252)*(dataset!$J$2:$J$807&lt;&gt;"")),"")</f>
        <v/>
      </c>
    </row>
    <row r="253">
      <c r="A253" s="2" t="inlineStr">
        <is>
          <t>Ismail Marzuki</t>
        </is>
      </c>
      <c r="B253" s="2">
        <f>SUMPRODUCT(--(dataset!$C$2:$C$807=$A253))</f>
        <v/>
      </c>
      <c r="C253" s="3">
        <f>SUMPRODUCT((dataset!$C$2:$C$807=$A253)*dataset!$B$2:$B$807)/B253</f>
        <v/>
      </c>
      <c r="D253" s="2">
        <f>_xlfn.MINIFS(dataset!$B$2:$B$807,dataset!$C$2:$C$807,$A253)</f>
        <v/>
      </c>
      <c r="E253" s="2">
        <f>_xlfn.MAXIFS(dataset!$B$2:$B$807,dataset!$C$2:$C$807,$A253)</f>
        <v/>
      </c>
      <c r="F253" s="3">
        <f>IFERROR(SUMPRODUCT((dataset!$C$2:$C$807=$A253)*dataset!$I$2:$I$807)/SUMPRODUCT((dataset!$C$2:$C$807=$A253)*(dataset!$I$2:$I$807&lt;&gt;"")),"")</f>
        <v/>
      </c>
      <c r="G253" s="3">
        <f>IFERROR(SUMPRODUCT((dataset!$C$2:$C$807=$A253)*dataset!$J$2:$J$807)/SUMPRODUCT((dataset!$C$2:$C$807=$A253)*(dataset!$J$2:$J$807&lt;&gt;"")),"")</f>
        <v/>
      </c>
    </row>
    <row r="254">
      <c r="A254" s="2" t="inlineStr">
        <is>
          <t>J. C. Heed</t>
        </is>
      </c>
      <c r="B254" s="2">
        <f>SUMPRODUCT(--(dataset!$C$2:$C$807=$A254))</f>
        <v/>
      </c>
      <c r="C254" s="3">
        <f>SUMPRODUCT((dataset!$C$2:$C$807=$A254)*dataset!$B$2:$B$807)/B254</f>
        <v/>
      </c>
      <c r="D254" s="2">
        <f>_xlfn.MINIFS(dataset!$B$2:$B$807,dataset!$C$2:$C$807,$A254)</f>
        <v/>
      </c>
      <c r="E254" s="2">
        <f>_xlfn.MAXIFS(dataset!$B$2:$B$807,dataset!$C$2:$C$807,$A254)</f>
        <v/>
      </c>
      <c r="F254" s="3">
        <f>IFERROR(SUMPRODUCT((dataset!$C$2:$C$807=$A254)*dataset!$I$2:$I$807)/SUMPRODUCT((dataset!$C$2:$C$807=$A254)*(dataset!$I$2:$I$807&lt;&gt;"")),"")</f>
        <v/>
      </c>
      <c r="G254" s="3">
        <f>IFERROR(SUMPRODUCT((dataset!$C$2:$C$807=$A254)*dataset!$J$2:$J$807)/SUMPRODUCT((dataset!$C$2:$C$807=$A254)*(dataset!$J$2:$J$807&lt;&gt;"")),"")</f>
        <v/>
      </c>
    </row>
    <row r="255">
      <c r="A255" s="2" t="inlineStr">
        <is>
          <t>J. DeLancey</t>
        </is>
      </c>
      <c r="B255" s="2">
        <f>SUMPRODUCT(--(dataset!$C$2:$C$807=$A255))</f>
        <v/>
      </c>
      <c r="C255" s="3">
        <f>SUMPRODUCT((dataset!$C$2:$C$807=$A255)*dataset!$B$2:$B$807)/B255</f>
        <v/>
      </c>
      <c r="D255" s="2">
        <f>_xlfn.MINIFS(dataset!$B$2:$B$807,dataset!$C$2:$C$807,$A255)</f>
        <v/>
      </c>
      <c r="E255" s="2">
        <f>_xlfn.MAXIFS(dataset!$B$2:$B$807,dataset!$C$2:$C$807,$A255)</f>
        <v/>
      </c>
      <c r="F255" s="3">
        <f>IFERROR(SUMPRODUCT((dataset!$C$2:$C$807=$A255)*dataset!$I$2:$I$807)/SUMPRODUCT((dataset!$C$2:$C$807=$A255)*(dataset!$I$2:$I$807&lt;&gt;"")),"")</f>
        <v/>
      </c>
      <c r="G255" s="3">
        <f>IFERROR(SUMPRODUCT((dataset!$C$2:$C$807=$A255)*dataset!$J$2:$J$807)/SUMPRODUCT((dataset!$C$2:$C$807=$A255)*(dataset!$J$2:$J$807&lt;&gt;"")),"")</f>
        <v/>
      </c>
    </row>
    <row r="256">
      <c r="A256" s="2" t="inlineStr">
        <is>
          <t>J. F. Wagner</t>
        </is>
      </c>
      <c r="B256" s="2">
        <f>SUMPRODUCT(--(dataset!$C$2:$C$807=$A256))</f>
        <v/>
      </c>
      <c r="C256" s="3">
        <f>SUMPRODUCT((dataset!$C$2:$C$807=$A256)*dataset!$B$2:$B$807)/B256</f>
        <v/>
      </c>
      <c r="D256" s="2">
        <f>_xlfn.MINIFS(dataset!$B$2:$B$807,dataset!$C$2:$C$807,$A256)</f>
        <v/>
      </c>
      <c r="E256" s="2">
        <f>_xlfn.MAXIFS(dataset!$B$2:$B$807,dataset!$C$2:$C$807,$A256)</f>
        <v/>
      </c>
      <c r="F256" s="3">
        <f>IFERROR(SUMPRODUCT((dataset!$C$2:$C$807=$A256)*dataset!$I$2:$I$807)/SUMPRODUCT((dataset!$C$2:$C$807=$A256)*(dataset!$I$2:$I$807&lt;&gt;"")),"")</f>
        <v/>
      </c>
      <c r="G256" s="3">
        <f>IFERROR(SUMPRODUCT((dataset!$C$2:$C$807=$A256)*dataset!$J$2:$J$807)/SUMPRODUCT((dataset!$C$2:$C$807=$A256)*(dataset!$J$2:$J$807&lt;&gt;"")),"")</f>
        <v/>
      </c>
    </row>
    <row r="257">
      <c r="A257" s="2" t="inlineStr">
        <is>
          <t>J. G. Bishop</t>
        </is>
      </c>
      <c r="B257" s="2">
        <f>SUMPRODUCT(--(dataset!$C$2:$C$807=$A257))</f>
        <v/>
      </c>
      <c r="C257" s="3">
        <f>SUMPRODUCT((dataset!$C$2:$C$807=$A257)*dataset!$B$2:$B$807)/B257</f>
        <v/>
      </c>
      <c r="D257" s="2">
        <f>_xlfn.MINIFS(dataset!$B$2:$B$807,dataset!$C$2:$C$807,$A257)</f>
        <v/>
      </c>
      <c r="E257" s="2">
        <f>_xlfn.MAXIFS(dataset!$B$2:$B$807,dataset!$C$2:$C$807,$A257)</f>
        <v/>
      </c>
      <c r="F257" s="3">
        <f>IFERROR(SUMPRODUCT((dataset!$C$2:$C$807=$A257)*dataset!$I$2:$I$807)/SUMPRODUCT((dataset!$C$2:$C$807=$A257)*(dataset!$I$2:$I$807&lt;&gt;"")),"")</f>
        <v/>
      </c>
      <c r="G257" s="3">
        <f>IFERROR(SUMPRODUCT((dataset!$C$2:$C$807=$A257)*dataset!$J$2:$J$807)/SUMPRODUCT((dataset!$C$2:$C$807=$A257)*(dataset!$J$2:$J$807&lt;&gt;"")),"")</f>
        <v/>
      </c>
    </row>
    <row r="258">
      <c r="A258" s="2" t="inlineStr">
        <is>
          <t>J. J. Watson</t>
        </is>
      </c>
      <c r="B258" s="2">
        <f>SUMPRODUCT(--(dataset!$C$2:$C$807=$A258))</f>
        <v/>
      </c>
      <c r="C258" s="3">
        <f>SUMPRODUCT((dataset!$C$2:$C$807=$A258)*dataset!$B$2:$B$807)/B258</f>
        <v/>
      </c>
      <c r="D258" s="2">
        <f>_xlfn.MINIFS(dataset!$B$2:$B$807,dataset!$C$2:$C$807,$A258)</f>
        <v/>
      </c>
      <c r="E258" s="2">
        <f>_xlfn.MAXIFS(dataset!$B$2:$B$807,dataset!$C$2:$C$807,$A258)</f>
        <v/>
      </c>
      <c r="F258" s="3">
        <f>IFERROR(SUMPRODUCT((dataset!$C$2:$C$807=$A258)*dataset!$I$2:$I$807)/SUMPRODUCT((dataset!$C$2:$C$807=$A258)*(dataset!$I$2:$I$807&lt;&gt;"")),"")</f>
        <v/>
      </c>
      <c r="G258" s="3">
        <f>IFERROR(SUMPRODUCT((dataset!$C$2:$C$807=$A258)*dataset!$J$2:$J$807)/SUMPRODUCT((dataset!$C$2:$C$807=$A258)*(dataset!$J$2:$J$807&lt;&gt;"")),"")</f>
        <v/>
      </c>
    </row>
    <row r="259">
      <c r="A259" s="2" t="inlineStr">
        <is>
          <t>J. Monna</t>
        </is>
      </c>
      <c r="B259" s="2">
        <f>SUMPRODUCT(--(dataset!$C$2:$C$807=$A259))</f>
        <v/>
      </c>
      <c r="C259" s="3">
        <f>SUMPRODUCT((dataset!$C$2:$C$807=$A259)*dataset!$B$2:$B$807)/B259</f>
        <v/>
      </c>
      <c r="D259" s="2">
        <f>_xlfn.MINIFS(dataset!$B$2:$B$807,dataset!$C$2:$C$807,$A259)</f>
        <v/>
      </c>
      <c r="E259" s="2">
        <f>_xlfn.MAXIFS(dataset!$B$2:$B$807,dataset!$C$2:$C$807,$A259)</f>
        <v/>
      </c>
      <c r="F259" s="3">
        <f>IFERROR(SUMPRODUCT((dataset!$C$2:$C$807=$A259)*dataset!$I$2:$I$807)/SUMPRODUCT((dataset!$C$2:$C$807=$A259)*(dataset!$I$2:$I$807&lt;&gt;"")),"")</f>
        <v/>
      </c>
      <c r="G259" s="3">
        <f>IFERROR(SUMPRODUCT((dataset!$C$2:$C$807=$A259)*dataset!$J$2:$J$807)/SUMPRODUCT((dataset!$C$2:$C$807=$A259)*(dataset!$J$2:$J$807&lt;&gt;"")),"")</f>
        <v/>
      </c>
    </row>
    <row r="260">
      <c r="A260" s="2" t="inlineStr">
        <is>
          <t>J.P. Long &amp; Maurice Scott</t>
        </is>
      </c>
      <c r="B260" s="2">
        <f>SUMPRODUCT(--(dataset!$C$2:$C$807=$A260))</f>
        <v/>
      </c>
      <c r="C260" s="3">
        <f>SUMPRODUCT((dataset!$C$2:$C$807=$A260)*dataset!$B$2:$B$807)/B260</f>
        <v/>
      </c>
      <c r="D260" s="2">
        <f>_xlfn.MINIFS(dataset!$B$2:$B$807,dataset!$C$2:$C$807,$A260)</f>
        <v/>
      </c>
      <c r="E260" s="2">
        <f>_xlfn.MAXIFS(dataset!$B$2:$B$807,dataset!$C$2:$C$807,$A260)</f>
        <v/>
      </c>
      <c r="F260" s="3">
        <f>IFERROR(SUMPRODUCT((dataset!$C$2:$C$807=$A260)*dataset!$I$2:$I$807)/SUMPRODUCT((dataset!$C$2:$C$807=$A260)*(dataset!$I$2:$I$807&lt;&gt;"")),"")</f>
        <v/>
      </c>
      <c r="G260" s="3">
        <f>IFERROR(SUMPRODUCT((dataset!$C$2:$C$807=$A260)*dataset!$J$2:$J$807)/SUMPRODUCT((dataset!$C$2:$C$807=$A260)*(dataset!$J$2:$J$807&lt;&gt;"")),"")</f>
        <v/>
      </c>
    </row>
    <row r="261">
      <c r="A261" s="2" t="inlineStr">
        <is>
          <t>Jacques Offenbach</t>
        </is>
      </c>
      <c r="B261" s="2">
        <f>SUMPRODUCT(--(dataset!$C$2:$C$807=$A261))</f>
        <v/>
      </c>
      <c r="C261" s="3">
        <f>SUMPRODUCT((dataset!$C$2:$C$807=$A261)*dataset!$B$2:$B$807)/B261</f>
        <v/>
      </c>
      <c r="D261" s="2">
        <f>_xlfn.MINIFS(dataset!$B$2:$B$807,dataset!$C$2:$C$807,$A261)</f>
        <v/>
      </c>
      <c r="E261" s="2">
        <f>_xlfn.MAXIFS(dataset!$B$2:$B$807,dataset!$C$2:$C$807,$A261)</f>
        <v/>
      </c>
      <c r="F261" s="3">
        <f>IFERROR(SUMPRODUCT((dataset!$C$2:$C$807=$A261)*dataset!$I$2:$I$807)/SUMPRODUCT((dataset!$C$2:$C$807=$A261)*(dataset!$I$2:$I$807&lt;&gt;"")),"")</f>
        <v/>
      </c>
      <c r="G261" s="3">
        <f>IFERROR(SUMPRODUCT((dataset!$C$2:$C$807=$A261)*dataset!$J$2:$J$807)/SUMPRODUCT((dataset!$C$2:$C$807=$A261)*(dataset!$J$2:$J$807&lt;&gt;"")),"")</f>
        <v/>
      </c>
    </row>
    <row r="262">
      <c r="A262" s="2" t="inlineStr">
        <is>
          <t>JAM Project</t>
        </is>
      </c>
      <c r="B262" s="2">
        <f>SUMPRODUCT(--(dataset!$C$2:$C$807=$A262))</f>
        <v/>
      </c>
      <c r="C262" s="3">
        <f>SUMPRODUCT((dataset!$C$2:$C$807=$A262)*dataset!$B$2:$B$807)/B262</f>
        <v/>
      </c>
      <c r="D262" s="2">
        <f>_xlfn.MINIFS(dataset!$B$2:$B$807,dataset!$C$2:$C$807,$A262)</f>
        <v/>
      </c>
      <c r="E262" s="2">
        <f>_xlfn.MAXIFS(dataset!$B$2:$B$807,dataset!$C$2:$C$807,$A262)</f>
        <v/>
      </c>
      <c r="F262" s="3">
        <f>IFERROR(SUMPRODUCT((dataset!$C$2:$C$807=$A262)*dataset!$I$2:$I$807)/SUMPRODUCT((dataset!$C$2:$C$807=$A262)*(dataset!$I$2:$I$807&lt;&gt;"")),"")</f>
        <v/>
      </c>
      <c r="G262" s="3">
        <f>IFERROR(SUMPRODUCT((dataset!$C$2:$C$807=$A262)*dataset!$J$2:$J$807)/SUMPRODUCT((dataset!$C$2:$C$807=$A262)*(dataset!$J$2:$J$807&lt;&gt;"")),"")</f>
        <v/>
      </c>
    </row>
    <row r="263">
      <c r="A263" s="2" t="inlineStr">
        <is>
          <t>James A. Fairfield</t>
        </is>
      </c>
      <c r="B263" s="2">
        <f>SUMPRODUCT(--(dataset!$C$2:$C$807=$A263))</f>
        <v/>
      </c>
      <c r="C263" s="3">
        <f>SUMPRODUCT((dataset!$C$2:$C$807=$A263)*dataset!$B$2:$B$807)/B263</f>
        <v/>
      </c>
      <c r="D263" s="2">
        <f>_xlfn.MINIFS(dataset!$B$2:$B$807,dataset!$C$2:$C$807,$A263)</f>
        <v/>
      </c>
      <c r="E263" s="2">
        <f>_xlfn.MAXIFS(dataset!$B$2:$B$807,dataset!$C$2:$C$807,$A263)</f>
        <v/>
      </c>
      <c r="F263" s="3">
        <f>IFERROR(SUMPRODUCT((dataset!$C$2:$C$807=$A263)*dataset!$I$2:$I$807)/SUMPRODUCT((dataset!$C$2:$C$807=$A263)*(dataset!$I$2:$I$807&lt;&gt;"")),"")</f>
        <v/>
      </c>
      <c r="G263" s="3">
        <f>IFERROR(SUMPRODUCT((dataset!$C$2:$C$807=$A263)*dataset!$J$2:$J$807)/SUMPRODUCT((dataset!$C$2:$C$807=$A263)*(dataset!$J$2:$J$807&lt;&gt;"")),"")</f>
        <v/>
      </c>
    </row>
    <row r="264">
      <c r="A264" s="2" t="inlineStr">
        <is>
          <t>James Doan</t>
        </is>
      </c>
      <c r="B264" s="2">
        <f>SUMPRODUCT(--(dataset!$C$2:$C$807=$A264))</f>
        <v/>
      </c>
      <c r="C264" s="3">
        <f>SUMPRODUCT((dataset!$C$2:$C$807=$A264)*dataset!$B$2:$B$807)/B264</f>
        <v/>
      </c>
      <c r="D264" s="2">
        <f>_xlfn.MINIFS(dataset!$B$2:$B$807,dataset!$C$2:$C$807,$A264)</f>
        <v/>
      </c>
      <c r="E264" s="2">
        <f>_xlfn.MAXIFS(dataset!$B$2:$B$807,dataset!$C$2:$C$807,$A264)</f>
        <v/>
      </c>
      <c r="F264" s="3">
        <f>IFERROR(SUMPRODUCT((dataset!$C$2:$C$807=$A264)*dataset!$I$2:$I$807)/SUMPRODUCT((dataset!$C$2:$C$807=$A264)*(dataset!$I$2:$I$807&lt;&gt;"")),"")</f>
        <v/>
      </c>
      <c r="G264" s="3">
        <f>IFERROR(SUMPRODUCT((dataset!$C$2:$C$807=$A264)*dataset!$J$2:$J$807)/SUMPRODUCT((dataset!$C$2:$C$807=$A264)*(dataset!$J$2:$J$807&lt;&gt;"")),"")</f>
        <v/>
      </c>
    </row>
    <row r="265">
      <c r="A265" s="2" t="inlineStr">
        <is>
          <t>James Milton Black</t>
        </is>
      </c>
      <c r="B265" s="2">
        <f>SUMPRODUCT(--(dataset!$C$2:$C$807=$A265))</f>
        <v/>
      </c>
      <c r="C265" s="3">
        <f>SUMPRODUCT((dataset!$C$2:$C$807=$A265)*dataset!$B$2:$B$807)/B265</f>
        <v/>
      </c>
      <c r="D265" s="2">
        <f>_xlfn.MINIFS(dataset!$B$2:$B$807,dataset!$C$2:$C$807,$A265)</f>
        <v/>
      </c>
      <c r="E265" s="2">
        <f>_xlfn.MAXIFS(dataset!$B$2:$B$807,dataset!$C$2:$C$807,$A265)</f>
        <v/>
      </c>
      <c r="F265" s="3">
        <f>IFERROR(SUMPRODUCT((dataset!$C$2:$C$807=$A265)*dataset!$I$2:$I$807)/SUMPRODUCT((dataset!$C$2:$C$807=$A265)*(dataset!$I$2:$I$807&lt;&gt;"")),"")</f>
        <v/>
      </c>
      <c r="G265" s="3">
        <f>IFERROR(SUMPRODUCT((dataset!$C$2:$C$807=$A265)*dataset!$J$2:$J$807)/SUMPRODUCT((dataset!$C$2:$C$807=$A265)*(dataset!$J$2:$J$807&lt;&gt;"")),"")</f>
        <v/>
      </c>
    </row>
    <row r="266">
      <c r="A266" s="2" t="inlineStr">
        <is>
          <t>James Ryan Thompson</t>
        </is>
      </c>
      <c r="B266" s="2">
        <f>SUMPRODUCT(--(dataset!$C$2:$C$807=$A266))</f>
        <v/>
      </c>
      <c r="C266" s="3">
        <f>SUMPRODUCT((dataset!$C$2:$C$807=$A266)*dataset!$B$2:$B$807)/B266</f>
        <v/>
      </c>
      <c r="D266" s="2">
        <f>_xlfn.MINIFS(dataset!$B$2:$B$807,dataset!$C$2:$C$807,$A266)</f>
        <v/>
      </c>
      <c r="E266" s="2">
        <f>_xlfn.MAXIFS(dataset!$B$2:$B$807,dataset!$C$2:$C$807,$A266)</f>
        <v/>
      </c>
      <c r="F266" s="3">
        <f>IFERROR(SUMPRODUCT((dataset!$C$2:$C$807=$A266)*dataset!$I$2:$I$807)/SUMPRODUCT((dataset!$C$2:$C$807=$A266)*(dataset!$I$2:$I$807&lt;&gt;"")),"")</f>
        <v/>
      </c>
      <c r="G266" s="3">
        <f>IFERROR(SUMPRODUCT((dataset!$C$2:$C$807=$A266)*dataset!$J$2:$J$807)/SUMPRODUCT((dataset!$C$2:$C$807=$A266)*(dataset!$J$2:$J$807&lt;&gt;"")),"")</f>
        <v/>
      </c>
    </row>
    <row r="267">
      <c r="A267" s="2" t="inlineStr">
        <is>
          <t>Jaroslav Ježek</t>
        </is>
      </c>
      <c r="B267" s="2">
        <f>SUMPRODUCT(--(dataset!$C$2:$C$807=$A267))</f>
        <v/>
      </c>
      <c r="C267" s="3">
        <f>SUMPRODUCT((dataset!$C$2:$C$807=$A267)*dataset!$B$2:$B$807)/B267</f>
        <v/>
      </c>
      <c r="D267" s="2">
        <f>_xlfn.MINIFS(dataset!$B$2:$B$807,dataset!$C$2:$C$807,$A267)</f>
        <v/>
      </c>
      <c r="E267" s="2">
        <f>_xlfn.MAXIFS(dataset!$B$2:$B$807,dataset!$C$2:$C$807,$A267)</f>
        <v/>
      </c>
      <c r="F267" s="3">
        <f>IFERROR(SUMPRODUCT((dataset!$C$2:$C$807=$A267)*dataset!$I$2:$I$807)/SUMPRODUCT((dataset!$C$2:$C$807=$A267)*(dataset!$I$2:$I$807&lt;&gt;"")),"")</f>
        <v/>
      </c>
      <c r="G267" s="3">
        <f>IFERROR(SUMPRODUCT((dataset!$C$2:$C$807=$A267)*dataset!$J$2:$J$807)/SUMPRODUCT((dataset!$C$2:$C$807=$A267)*(dataset!$J$2:$J$807&lt;&gt;"")),"")</f>
        <v/>
      </c>
    </row>
    <row r="268">
      <c r="A268" s="2" t="inlineStr">
        <is>
          <t>Jason Gofandi</t>
        </is>
      </c>
      <c r="B268" s="2">
        <f>SUMPRODUCT(--(dataset!$C$2:$C$807=$A268))</f>
        <v/>
      </c>
      <c r="C268" s="3">
        <f>SUMPRODUCT((dataset!$C$2:$C$807=$A268)*dataset!$B$2:$B$807)/B268</f>
        <v/>
      </c>
      <c r="D268" s="2">
        <f>_xlfn.MINIFS(dataset!$B$2:$B$807,dataset!$C$2:$C$807,$A268)</f>
        <v/>
      </c>
      <c r="E268" s="2">
        <f>_xlfn.MAXIFS(dataset!$B$2:$B$807,dataset!$C$2:$C$807,$A268)</f>
        <v/>
      </c>
      <c r="F268" s="3">
        <f>IFERROR(SUMPRODUCT((dataset!$C$2:$C$807=$A268)*dataset!$I$2:$I$807)/SUMPRODUCT((dataset!$C$2:$C$807=$A268)*(dataset!$I$2:$I$807&lt;&gt;"")),"")</f>
        <v/>
      </c>
      <c r="G268" s="3">
        <f>IFERROR(SUMPRODUCT((dataset!$C$2:$C$807=$A268)*dataset!$J$2:$J$807)/SUMPRODUCT((dataset!$C$2:$C$807=$A268)*(dataset!$J$2:$J$807&lt;&gt;"")),"")</f>
        <v/>
      </c>
    </row>
    <row r="269">
      <c r="A269" s="2" t="inlineStr">
        <is>
          <t>Jay Unger</t>
        </is>
      </c>
      <c r="B269" s="2">
        <f>SUMPRODUCT(--(dataset!$C$2:$C$807=$A269))</f>
        <v/>
      </c>
      <c r="C269" s="3">
        <f>SUMPRODUCT((dataset!$C$2:$C$807=$A269)*dataset!$B$2:$B$807)/B269</f>
        <v/>
      </c>
      <c r="D269" s="2">
        <f>_xlfn.MINIFS(dataset!$B$2:$B$807,dataset!$C$2:$C$807,$A269)</f>
        <v/>
      </c>
      <c r="E269" s="2">
        <f>_xlfn.MAXIFS(dataset!$B$2:$B$807,dataset!$C$2:$C$807,$A269)</f>
        <v/>
      </c>
      <c r="F269" s="3">
        <f>IFERROR(SUMPRODUCT((dataset!$C$2:$C$807=$A269)*dataset!$I$2:$I$807)/SUMPRODUCT((dataset!$C$2:$C$807=$A269)*(dataset!$I$2:$I$807&lt;&gt;"")),"")</f>
        <v/>
      </c>
      <c r="G269" s="3">
        <f>IFERROR(SUMPRODUCT((dataset!$C$2:$C$807=$A269)*dataset!$J$2:$J$807)/SUMPRODUCT((dataset!$C$2:$C$807=$A269)*(dataset!$J$2:$J$807&lt;&gt;"")),"")</f>
        <v/>
      </c>
    </row>
    <row r="270">
      <c r="A270" s="2" t="inlineStr">
        <is>
          <t>JaydenZap</t>
        </is>
      </c>
      <c r="B270" s="2">
        <f>SUMPRODUCT(--(dataset!$C$2:$C$807=$A270))</f>
        <v/>
      </c>
      <c r="C270" s="3">
        <f>SUMPRODUCT((dataset!$C$2:$C$807=$A270)*dataset!$B$2:$B$807)/B270</f>
        <v/>
      </c>
      <c r="D270" s="2">
        <f>_xlfn.MINIFS(dataset!$B$2:$B$807,dataset!$C$2:$C$807,$A270)</f>
        <v/>
      </c>
      <c r="E270" s="2">
        <f>_xlfn.MAXIFS(dataset!$B$2:$B$807,dataset!$C$2:$C$807,$A270)</f>
        <v/>
      </c>
      <c r="F270" s="3">
        <f>IFERROR(SUMPRODUCT((dataset!$C$2:$C$807=$A270)*dataset!$I$2:$I$807)/SUMPRODUCT((dataset!$C$2:$C$807=$A270)*(dataset!$I$2:$I$807&lt;&gt;"")),"")</f>
        <v/>
      </c>
      <c r="G270" s="3">
        <f>IFERROR(SUMPRODUCT((dataset!$C$2:$C$807=$A270)*dataset!$J$2:$J$807)/SUMPRODUCT((dataset!$C$2:$C$807=$A270)*(dataset!$J$2:$J$807&lt;&gt;"")),"")</f>
        <v/>
      </c>
    </row>
    <row r="271">
      <c r="A271" s="2" t="inlineStr">
        <is>
          <t>Jean-Baptiste Lully</t>
        </is>
      </c>
      <c r="B271" s="2">
        <f>SUMPRODUCT(--(dataset!$C$2:$C$807=$A271))</f>
        <v/>
      </c>
      <c r="C271" s="3">
        <f>SUMPRODUCT((dataset!$C$2:$C$807=$A271)*dataset!$B$2:$B$807)/B271</f>
        <v/>
      </c>
      <c r="D271" s="2">
        <f>_xlfn.MINIFS(dataset!$B$2:$B$807,dataset!$C$2:$C$807,$A271)</f>
        <v/>
      </c>
      <c r="E271" s="2">
        <f>_xlfn.MAXIFS(dataset!$B$2:$B$807,dataset!$C$2:$C$807,$A271)</f>
        <v/>
      </c>
      <c r="F271" s="3">
        <f>IFERROR(SUMPRODUCT((dataset!$C$2:$C$807=$A271)*dataset!$I$2:$I$807)/SUMPRODUCT((dataset!$C$2:$C$807=$A271)*(dataset!$I$2:$I$807&lt;&gt;"")),"")</f>
        <v/>
      </c>
      <c r="G271" s="3">
        <f>IFERROR(SUMPRODUCT((dataset!$C$2:$C$807=$A271)*dataset!$J$2:$J$807)/SUMPRODUCT((dataset!$C$2:$C$807=$A271)*(dataset!$J$2:$J$807&lt;&gt;"")),"")</f>
        <v/>
      </c>
    </row>
    <row r="272">
      <c r="A272" s="2" t="inlineStr">
        <is>
          <t>Jelly Roll Morton</t>
        </is>
      </c>
      <c r="B272" s="2">
        <f>SUMPRODUCT(--(dataset!$C$2:$C$807=$A272))</f>
        <v/>
      </c>
      <c r="C272" s="3">
        <f>SUMPRODUCT((dataset!$C$2:$C$807=$A272)*dataset!$B$2:$B$807)/B272</f>
        <v/>
      </c>
      <c r="D272" s="2">
        <f>_xlfn.MINIFS(dataset!$B$2:$B$807,dataset!$C$2:$C$807,$A272)</f>
        <v/>
      </c>
      <c r="E272" s="2">
        <f>_xlfn.MAXIFS(dataset!$B$2:$B$807,dataset!$C$2:$C$807,$A272)</f>
        <v/>
      </c>
      <c r="F272" s="3">
        <f>IFERROR(SUMPRODUCT((dataset!$C$2:$C$807=$A272)*dataset!$I$2:$I$807)/SUMPRODUCT((dataset!$C$2:$C$807=$A272)*(dataset!$I$2:$I$807&lt;&gt;"")),"")</f>
        <v/>
      </c>
      <c r="G272" s="3">
        <f>IFERROR(SUMPRODUCT((dataset!$C$2:$C$807=$A272)*dataset!$J$2:$J$807)/SUMPRODUCT((dataset!$C$2:$C$807=$A272)*(dataset!$J$2:$J$807&lt;&gt;"")),"")</f>
        <v/>
      </c>
    </row>
    <row r="273">
      <c r="A273" s="2" t="inlineStr">
        <is>
          <t>Jemell Werner</t>
        </is>
      </c>
      <c r="B273" s="2">
        <f>SUMPRODUCT(--(dataset!$C$2:$C$807=$A273))</f>
        <v/>
      </c>
      <c r="C273" s="3">
        <f>SUMPRODUCT((dataset!$C$2:$C$807=$A273)*dataset!$B$2:$B$807)/B273</f>
        <v/>
      </c>
      <c r="D273" s="2">
        <f>_xlfn.MINIFS(dataset!$B$2:$B$807,dataset!$C$2:$C$807,$A273)</f>
        <v/>
      </c>
      <c r="E273" s="2">
        <f>_xlfn.MAXIFS(dataset!$B$2:$B$807,dataset!$C$2:$C$807,$A273)</f>
        <v/>
      </c>
      <c r="F273" s="3">
        <f>IFERROR(SUMPRODUCT((dataset!$C$2:$C$807=$A273)*dataset!$I$2:$I$807)/SUMPRODUCT((dataset!$C$2:$C$807=$A273)*(dataset!$I$2:$I$807&lt;&gt;"")),"")</f>
        <v/>
      </c>
      <c r="G273" s="3">
        <f>IFERROR(SUMPRODUCT((dataset!$C$2:$C$807=$A273)*dataset!$J$2:$J$807)/SUMPRODUCT((dataset!$C$2:$C$807=$A273)*(dataset!$J$2:$J$807&lt;&gt;"")),"")</f>
        <v/>
      </c>
    </row>
    <row r="274">
      <c r="A274" s="2" t="inlineStr">
        <is>
          <t>Jeremiah Clarke</t>
        </is>
      </c>
      <c r="B274" s="2">
        <f>SUMPRODUCT(--(dataset!$C$2:$C$807=$A274))</f>
        <v/>
      </c>
      <c r="C274" s="3">
        <f>SUMPRODUCT((dataset!$C$2:$C$807=$A274)*dataset!$B$2:$B$807)/B274</f>
        <v/>
      </c>
      <c r="D274" s="2">
        <f>_xlfn.MINIFS(dataset!$B$2:$B$807,dataset!$C$2:$C$807,$A274)</f>
        <v/>
      </c>
      <c r="E274" s="2">
        <f>_xlfn.MAXIFS(dataset!$B$2:$B$807,dataset!$C$2:$C$807,$A274)</f>
        <v/>
      </c>
      <c r="F274" s="3">
        <f>IFERROR(SUMPRODUCT((dataset!$C$2:$C$807=$A274)*dataset!$I$2:$I$807)/SUMPRODUCT((dataset!$C$2:$C$807=$A274)*(dataset!$I$2:$I$807&lt;&gt;"")),"")</f>
        <v/>
      </c>
      <c r="G274" s="3">
        <f>IFERROR(SUMPRODUCT((dataset!$C$2:$C$807=$A274)*dataset!$J$2:$J$807)/SUMPRODUCT((dataset!$C$2:$C$807=$A274)*(dataset!$J$2:$J$807&lt;&gt;"")),"")</f>
        <v/>
      </c>
    </row>
    <row r="275">
      <c r="A275" s="2" t="inlineStr">
        <is>
          <t>Jeremy Kittel</t>
        </is>
      </c>
      <c r="B275" s="2">
        <f>SUMPRODUCT(--(dataset!$C$2:$C$807=$A275))</f>
        <v/>
      </c>
      <c r="C275" s="3">
        <f>SUMPRODUCT((dataset!$C$2:$C$807=$A275)*dataset!$B$2:$B$807)/B275</f>
        <v/>
      </c>
      <c r="D275" s="2">
        <f>_xlfn.MINIFS(dataset!$B$2:$B$807,dataset!$C$2:$C$807,$A275)</f>
        <v/>
      </c>
      <c r="E275" s="2">
        <f>_xlfn.MAXIFS(dataset!$B$2:$B$807,dataset!$C$2:$C$807,$A275)</f>
        <v/>
      </c>
      <c r="F275" s="3">
        <f>IFERROR(SUMPRODUCT((dataset!$C$2:$C$807=$A275)*dataset!$I$2:$I$807)/SUMPRODUCT((dataset!$C$2:$C$807=$A275)*(dataset!$I$2:$I$807&lt;&gt;"")),"")</f>
        <v/>
      </c>
      <c r="G275" s="3">
        <f>IFERROR(SUMPRODUCT((dataset!$C$2:$C$807=$A275)*dataset!$J$2:$J$807)/SUMPRODUCT((dataset!$C$2:$C$807=$A275)*(dataset!$J$2:$J$807&lt;&gt;"")),"")</f>
        <v/>
      </c>
    </row>
    <row r="276">
      <c r="A276" s="2" t="inlineStr">
        <is>
          <t>Jeremy Soule</t>
        </is>
      </c>
      <c r="B276" s="2">
        <f>SUMPRODUCT(--(dataset!$C$2:$C$807=$A276))</f>
        <v/>
      </c>
      <c r="C276" s="3">
        <f>SUMPRODUCT((dataset!$C$2:$C$807=$A276)*dataset!$B$2:$B$807)/B276</f>
        <v/>
      </c>
      <c r="D276" s="2">
        <f>_xlfn.MINIFS(dataset!$B$2:$B$807,dataset!$C$2:$C$807,$A276)</f>
        <v/>
      </c>
      <c r="E276" s="2">
        <f>_xlfn.MAXIFS(dataset!$B$2:$B$807,dataset!$C$2:$C$807,$A276)</f>
        <v/>
      </c>
      <c r="F276" s="3">
        <f>IFERROR(SUMPRODUCT((dataset!$C$2:$C$807=$A276)*dataset!$I$2:$I$807)/SUMPRODUCT((dataset!$C$2:$C$807=$A276)*(dataset!$I$2:$I$807&lt;&gt;"")),"")</f>
        <v/>
      </c>
      <c r="G276" s="3">
        <f>IFERROR(SUMPRODUCT((dataset!$C$2:$C$807=$A276)*dataset!$J$2:$J$807)/SUMPRODUCT((dataset!$C$2:$C$807=$A276)*(dataset!$J$2:$J$807&lt;&gt;"")),"")</f>
        <v/>
      </c>
    </row>
    <row r="277">
      <c r="A277" s="2" t="inlineStr">
        <is>
          <t>Jerry Bustillo</t>
        </is>
      </c>
      <c r="B277" s="2">
        <f>SUMPRODUCT(--(dataset!$C$2:$C$807=$A277))</f>
        <v/>
      </c>
      <c r="C277" s="3">
        <f>SUMPRODUCT((dataset!$C$2:$C$807=$A277)*dataset!$B$2:$B$807)/B277</f>
        <v/>
      </c>
      <c r="D277" s="2">
        <f>_xlfn.MINIFS(dataset!$B$2:$B$807,dataset!$C$2:$C$807,$A277)</f>
        <v/>
      </c>
      <c r="E277" s="2">
        <f>_xlfn.MAXIFS(dataset!$B$2:$B$807,dataset!$C$2:$C$807,$A277)</f>
        <v/>
      </c>
      <c r="F277" s="3">
        <f>IFERROR(SUMPRODUCT((dataset!$C$2:$C$807=$A277)*dataset!$I$2:$I$807)/SUMPRODUCT((dataset!$C$2:$C$807=$A277)*(dataset!$I$2:$I$807&lt;&gt;"")),"")</f>
        <v/>
      </c>
      <c r="G277" s="3">
        <f>IFERROR(SUMPRODUCT((dataset!$C$2:$C$807=$A277)*dataset!$J$2:$J$807)/SUMPRODUCT((dataset!$C$2:$C$807=$A277)*(dataset!$J$2:$J$807&lt;&gt;"")),"")</f>
        <v/>
      </c>
    </row>
    <row r="278">
      <c r="A278" s="2" t="inlineStr">
        <is>
          <t>Jesse Greer</t>
        </is>
      </c>
      <c r="B278" s="2">
        <f>SUMPRODUCT(--(dataset!$C$2:$C$807=$A278))</f>
        <v/>
      </c>
      <c r="C278" s="3">
        <f>SUMPRODUCT((dataset!$C$2:$C$807=$A278)*dataset!$B$2:$B$807)/B278</f>
        <v/>
      </c>
      <c r="D278" s="2">
        <f>_xlfn.MINIFS(dataset!$B$2:$B$807,dataset!$C$2:$C$807,$A278)</f>
        <v/>
      </c>
      <c r="E278" s="2">
        <f>_xlfn.MAXIFS(dataset!$B$2:$B$807,dataset!$C$2:$C$807,$A278)</f>
        <v/>
      </c>
      <c r="F278" s="3">
        <f>IFERROR(SUMPRODUCT((dataset!$C$2:$C$807=$A278)*dataset!$I$2:$I$807)/SUMPRODUCT((dataset!$C$2:$C$807=$A278)*(dataset!$I$2:$I$807&lt;&gt;"")),"")</f>
        <v/>
      </c>
      <c r="G278" s="3">
        <f>IFERROR(SUMPRODUCT((dataset!$C$2:$C$807=$A278)*dataset!$J$2:$J$807)/SUMPRODUCT((dataset!$C$2:$C$807=$A278)*(dataset!$J$2:$J$807&lt;&gt;"")),"")</f>
        <v/>
      </c>
    </row>
    <row r="279">
      <c r="A279" s="2" t="inlineStr">
        <is>
          <t>Jim Bumgardner</t>
        </is>
      </c>
      <c r="B279" s="2">
        <f>SUMPRODUCT(--(dataset!$C$2:$C$807=$A279))</f>
        <v/>
      </c>
      <c r="C279" s="3">
        <f>SUMPRODUCT((dataset!$C$2:$C$807=$A279)*dataset!$B$2:$B$807)/B279</f>
        <v/>
      </c>
      <c r="D279" s="2">
        <f>_xlfn.MINIFS(dataset!$B$2:$B$807,dataset!$C$2:$C$807,$A279)</f>
        <v/>
      </c>
      <c r="E279" s="2">
        <f>_xlfn.MAXIFS(dataset!$B$2:$B$807,dataset!$C$2:$C$807,$A279)</f>
        <v/>
      </c>
      <c r="F279" s="3">
        <f>IFERROR(SUMPRODUCT((dataset!$C$2:$C$807=$A279)*dataset!$I$2:$I$807)/SUMPRODUCT((dataset!$C$2:$C$807=$A279)*(dataset!$I$2:$I$807&lt;&gt;"")),"")</f>
        <v/>
      </c>
      <c r="G279" s="3">
        <f>IFERROR(SUMPRODUCT((dataset!$C$2:$C$807=$A279)*dataset!$J$2:$J$807)/SUMPRODUCT((dataset!$C$2:$C$807=$A279)*(dataset!$J$2:$J$807&lt;&gt;"")),"")</f>
        <v/>
      </c>
    </row>
    <row r="280">
      <c r="A280" s="2" t="inlineStr">
        <is>
          <t>Joachim Raff</t>
        </is>
      </c>
      <c r="B280" s="2">
        <f>SUMPRODUCT(--(dataset!$C$2:$C$807=$A280))</f>
        <v/>
      </c>
      <c r="C280" s="3">
        <f>SUMPRODUCT((dataset!$C$2:$C$807=$A280)*dataset!$B$2:$B$807)/B280</f>
        <v/>
      </c>
      <c r="D280" s="2">
        <f>_xlfn.MINIFS(dataset!$B$2:$B$807,dataset!$C$2:$C$807,$A280)</f>
        <v/>
      </c>
      <c r="E280" s="2">
        <f>_xlfn.MAXIFS(dataset!$B$2:$B$807,dataset!$C$2:$C$807,$A280)</f>
        <v/>
      </c>
      <c r="F280" s="3">
        <f>IFERROR(SUMPRODUCT((dataset!$C$2:$C$807=$A280)*dataset!$I$2:$I$807)/SUMPRODUCT((dataset!$C$2:$C$807=$A280)*(dataset!$I$2:$I$807&lt;&gt;"")),"")</f>
        <v/>
      </c>
      <c r="G280" s="3">
        <f>IFERROR(SUMPRODUCT((dataset!$C$2:$C$807=$A280)*dataset!$J$2:$J$807)/SUMPRODUCT((dataset!$C$2:$C$807=$A280)*(dataset!$J$2:$J$807&lt;&gt;"")),"")</f>
        <v/>
      </c>
    </row>
    <row r="281">
      <c r="A281" s="2" t="inlineStr">
        <is>
          <t>Joe Hollander</t>
        </is>
      </c>
      <c r="B281" s="2">
        <f>SUMPRODUCT(--(dataset!$C$2:$C$807=$A281))</f>
        <v/>
      </c>
      <c r="C281" s="3">
        <f>SUMPRODUCT((dataset!$C$2:$C$807=$A281)*dataset!$B$2:$B$807)/B281</f>
        <v/>
      </c>
      <c r="D281" s="2">
        <f>_xlfn.MINIFS(dataset!$B$2:$B$807,dataset!$C$2:$C$807,$A281)</f>
        <v/>
      </c>
      <c r="E281" s="2">
        <f>_xlfn.MAXIFS(dataset!$B$2:$B$807,dataset!$C$2:$C$807,$A281)</f>
        <v/>
      </c>
      <c r="F281" s="3">
        <f>IFERROR(SUMPRODUCT((dataset!$C$2:$C$807=$A281)*dataset!$I$2:$I$807)/SUMPRODUCT((dataset!$C$2:$C$807=$A281)*(dataset!$I$2:$I$807&lt;&gt;"")),"")</f>
        <v/>
      </c>
      <c r="G281" s="3">
        <f>IFERROR(SUMPRODUCT((dataset!$C$2:$C$807=$A281)*dataset!$J$2:$J$807)/SUMPRODUCT((dataset!$C$2:$C$807=$A281)*(dataset!$J$2:$J$807&lt;&gt;"")),"")</f>
        <v/>
      </c>
    </row>
    <row r="282">
      <c r="A282" s="2" t="inlineStr">
        <is>
          <t>Joe Hollander &amp; Dan Dody</t>
        </is>
      </c>
      <c r="B282" s="2">
        <f>SUMPRODUCT(--(dataset!$C$2:$C$807=$A282))</f>
        <v/>
      </c>
      <c r="C282" s="3">
        <f>SUMPRODUCT((dataset!$C$2:$C$807=$A282)*dataset!$B$2:$B$807)/B282</f>
        <v/>
      </c>
      <c r="D282" s="2">
        <f>_xlfn.MINIFS(dataset!$B$2:$B$807,dataset!$C$2:$C$807,$A282)</f>
        <v/>
      </c>
      <c r="E282" s="2">
        <f>_xlfn.MAXIFS(dataset!$B$2:$B$807,dataset!$C$2:$C$807,$A282)</f>
        <v/>
      </c>
      <c r="F282" s="3">
        <f>IFERROR(SUMPRODUCT((dataset!$C$2:$C$807=$A282)*dataset!$I$2:$I$807)/SUMPRODUCT((dataset!$C$2:$C$807=$A282)*(dataset!$I$2:$I$807&lt;&gt;"")),"")</f>
        <v/>
      </c>
      <c r="G282" s="3">
        <f>IFERROR(SUMPRODUCT((dataset!$C$2:$C$807=$A282)*dataset!$J$2:$J$807)/SUMPRODUCT((dataset!$C$2:$C$807=$A282)*(dataset!$J$2:$J$807&lt;&gt;"")),"")</f>
        <v/>
      </c>
    </row>
    <row r="283">
      <c r="A283" s="2" t="inlineStr">
        <is>
          <t>Joe White</t>
        </is>
      </c>
      <c r="B283" s="2">
        <f>SUMPRODUCT(--(dataset!$C$2:$C$807=$A283))</f>
        <v/>
      </c>
      <c r="C283" s="3">
        <f>SUMPRODUCT((dataset!$C$2:$C$807=$A283)*dataset!$B$2:$B$807)/B283</f>
        <v/>
      </c>
      <c r="D283" s="2">
        <f>_xlfn.MINIFS(dataset!$B$2:$B$807,dataset!$C$2:$C$807,$A283)</f>
        <v/>
      </c>
      <c r="E283" s="2">
        <f>_xlfn.MAXIFS(dataset!$B$2:$B$807,dataset!$C$2:$C$807,$A283)</f>
        <v/>
      </c>
      <c r="F283" s="3">
        <f>IFERROR(SUMPRODUCT((dataset!$C$2:$C$807=$A283)*dataset!$I$2:$I$807)/SUMPRODUCT((dataset!$C$2:$C$807=$A283)*(dataset!$I$2:$I$807&lt;&gt;"")),"")</f>
        <v/>
      </c>
      <c r="G283" s="3">
        <f>IFERROR(SUMPRODUCT((dataset!$C$2:$C$807=$A283)*dataset!$J$2:$J$807)/SUMPRODUCT((dataset!$C$2:$C$807=$A283)*(dataset!$J$2:$J$807&lt;&gt;"")),"")</f>
        <v/>
      </c>
    </row>
    <row r="284">
      <c r="A284" s="2" t="inlineStr">
        <is>
          <t>Johann Pachelbel</t>
        </is>
      </c>
      <c r="B284" s="2">
        <f>SUMPRODUCT(--(dataset!$C$2:$C$807=$A284))</f>
        <v/>
      </c>
      <c r="C284" s="3">
        <f>SUMPRODUCT((dataset!$C$2:$C$807=$A284)*dataset!$B$2:$B$807)/B284</f>
        <v/>
      </c>
      <c r="D284" s="2">
        <f>_xlfn.MINIFS(dataset!$B$2:$B$807,dataset!$C$2:$C$807,$A284)</f>
        <v/>
      </c>
      <c r="E284" s="2">
        <f>_xlfn.MAXIFS(dataset!$B$2:$B$807,dataset!$C$2:$C$807,$A284)</f>
        <v/>
      </c>
      <c r="F284" s="3">
        <f>IFERROR(SUMPRODUCT((dataset!$C$2:$C$807=$A284)*dataset!$I$2:$I$807)/SUMPRODUCT((dataset!$C$2:$C$807=$A284)*(dataset!$I$2:$I$807&lt;&gt;"")),"")</f>
        <v/>
      </c>
      <c r="G284" s="3">
        <f>IFERROR(SUMPRODUCT((dataset!$C$2:$C$807=$A284)*dataset!$J$2:$J$807)/SUMPRODUCT((dataset!$C$2:$C$807=$A284)*(dataset!$J$2:$J$807&lt;&gt;"")),"")</f>
        <v/>
      </c>
    </row>
    <row r="285">
      <c r="A285" s="2" t="inlineStr">
        <is>
          <t>Johann Peter Pixis</t>
        </is>
      </c>
      <c r="B285" s="2">
        <f>SUMPRODUCT(--(dataset!$C$2:$C$807=$A285))</f>
        <v/>
      </c>
      <c r="C285" s="3">
        <f>SUMPRODUCT((dataset!$C$2:$C$807=$A285)*dataset!$B$2:$B$807)/B285</f>
        <v/>
      </c>
      <c r="D285" s="2">
        <f>_xlfn.MINIFS(dataset!$B$2:$B$807,dataset!$C$2:$C$807,$A285)</f>
        <v/>
      </c>
      <c r="E285" s="2">
        <f>_xlfn.MAXIFS(dataset!$B$2:$B$807,dataset!$C$2:$C$807,$A285)</f>
        <v/>
      </c>
      <c r="F285" s="3">
        <f>IFERROR(SUMPRODUCT((dataset!$C$2:$C$807=$A285)*dataset!$I$2:$I$807)/SUMPRODUCT((dataset!$C$2:$C$807=$A285)*(dataset!$I$2:$I$807&lt;&gt;"")),"")</f>
        <v/>
      </c>
      <c r="G285" s="3">
        <f>IFERROR(SUMPRODUCT((dataset!$C$2:$C$807=$A285)*dataset!$J$2:$J$807)/SUMPRODUCT((dataset!$C$2:$C$807=$A285)*(dataset!$J$2:$J$807&lt;&gt;"")),"")</f>
        <v/>
      </c>
    </row>
    <row r="286">
      <c r="A286" s="2" t="inlineStr">
        <is>
          <t>Johann Strauss</t>
        </is>
      </c>
      <c r="B286" s="2">
        <f>SUMPRODUCT(--(dataset!$C$2:$C$807=$A286))</f>
        <v/>
      </c>
      <c r="C286" s="3">
        <f>SUMPRODUCT((dataset!$C$2:$C$807=$A286)*dataset!$B$2:$B$807)/B286</f>
        <v/>
      </c>
      <c r="D286" s="2">
        <f>_xlfn.MINIFS(dataset!$B$2:$B$807,dataset!$C$2:$C$807,$A286)</f>
        <v/>
      </c>
      <c r="E286" s="2">
        <f>_xlfn.MAXIFS(dataset!$B$2:$B$807,dataset!$C$2:$C$807,$A286)</f>
        <v/>
      </c>
      <c r="F286" s="3">
        <f>IFERROR(SUMPRODUCT((dataset!$C$2:$C$807=$A286)*dataset!$I$2:$I$807)/SUMPRODUCT((dataset!$C$2:$C$807=$A286)*(dataset!$I$2:$I$807&lt;&gt;"")),"")</f>
        <v/>
      </c>
      <c r="G286" s="3">
        <f>IFERROR(SUMPRODUCT((dataset!$C$2:$C$807=$A286)*dataset!$J$2:$J$807)/SUMPRODUCT((dataset!$C$2:$C$807=$A286)*(dataset!$J$2:$J$807&lt;&gt;"")),"")</f>
        <v/>
      </c>
    </row>
    <row r="287">
      <c r="A287" s="2" t="inlineStr">
        <is>
          <t>Johann Wanhal</t>
        </is>
      </c>
      <c r="B287" s="2">
        <f>SUMPRODUCT(--(dataset!$C$2:$C$807=$A287))</f>
        <v/>
      </c>
      <c r="C287" s="3">
        <f>SUMPRODUCT((dataset!$C$2:$C$807=$A287)*dataset!$B$2:$B$807)/B287</f>
        <v/>
      </c>
      <c r="D287" s="2">
        <f>_xlfn.MINIFS(dataset!$B$2:$B$807,dataset!$C$2:$C$807,$A287)</f>
        <v/>
      </c>
      <c r="E287" s="2">
        <f>_xlfn.MAXIFS(dataset!$B$2:$B$807,dataset!$C$2:$C$807,$A287)</f>
        <v/>
      </c>
      <c r="F287" s="3">
        <f>IFERROR(SUMPRODUCT((dataset!$C$2:$C$807=$A287)*dataset!$I$2:$I$807)/SUMPRODUCT((dataset!$C$2:$C$807=$A287)*(dataset!$I$2:$I$807&lt;&gt;"")),"")</f>
        <v/>
      </c>
      <c r="G287" s="3">
        <f>IFERROR(SUMPRODUCT((dataset!$C$2:$C$807=$A287)*dataset!$J$2:$J$807)/SUMPRODUCT((dataset!$C$2:$C$807=$A287)*(dataset!$J$2:$J$807&lt;&gt;"")),"")</f>
        <v/>
      </c>
    </row>
    <row r="288">
      <c r="A288" s="2" t="inlineStr">
        <is>
          <t>John Field</t>
        </is>
      </c>
      <c r="B288" s="2">
        <f>SUMPRODUCT(--(dataset!$C$2:$C$807=$A288))</f>
        <v/>
      </c>
      <c r="C288" s="3">
        <f>SUMPRODUCT((dataset!$C$2:$C$807=$A288)*dataset!$B$2:$B$807)/B288</f>
        <v/>
      </c>
      <c r="D288" s="2">
        <f>_xlfn.MINIFS(dataset!$B$2:$B$807,dataset!$C$2:$C$807,$A288)</f>
        <v/>
      </c>
      <c r="E288" s="2">
        <f>_xlfn.MAXIFS(dataset!$B$2:$B$807,dataset!$C$2:$C$807,$A288)</f>
        <v/>
      </c>
      <c r="F288" s="3">
        <f>IFERROR(SUMPRODUCT((dataset!$C$2:$C$807=$A288)*dataset!$I$2:$I$807)/SUMPRODUCT((dataset!$C$2:$C$807=$A288)*(dataset!$I$2:$I$807&lt;&gt;"")),"")</f>
        <v/>
      </c>
      <c r="G288" s="3">
        <f>IFERROR(SUMPRODUCT((dataset!$C$2:$C$807=$A288)*dataset!$J$2:$J$807)/SUMPRODUCT((dataset!$C$2:$C$807=$A288)*(dataset!$J$2:$J$807&lt;&gt;"")),"")</f>
        <v/>
      </c>
    </row>
    <row r="289">
      <c r="A289" s="2" t="inlineStr">
        <is>
          <t>John Newton</t>
        </is>
      </c>
      <c r="B289" s="2">
        <f>SUMPRODUCT(--(dataset!$C$2:$C$807=$A289))</f>
        <v/>
      </c>
      <c r="C289" s="3">
        <f>SUMPRODUCT((dataset!$C$2:$C$807=$A289)*dataset!$B$2:$B$807)/B289</f>
        <v/>
      </c>
      <c r="D289" s="2">
        <f>_xlfn.MINIFS(dataset!$B$2:$B$807,dataset!$C$2:$C$807,$A289)</f>
        <v/>
      </c>
      <c r="E289" s="2">
        <f>_xlfn.MAXIFS(dataset!$B$2:$B$807,dataset!$C$2:$C$807,$A289)</f>
        <v/>
      </c>
      <c r="F289" s="3">
        <f>IFERROR(SUMPRODUCT((dataset!$C$2:$C$807=$A289)*dataset!$I$2:$I$807)/SUMPRODUCT((dataset!$C$2:$C$807=$A289)*(dataset!$I$2:$I$807&lt;&gt;"")),"")</f>
        <v/>
      </c>
      <c r="G289" s="3">
        <f>IFERROR(SUMPRODUCT((dataset!$C$2:$C$807=$A289)*dataset!$J$2:$J$807)/SUMPRODUCT((dataset!$C$2:$C$807=$A289)*(dataset!$J$2:$J$807&lt;&gt;"")),"")</f>
        <v/>
      </c>
    </row>
    <row r="290">
      <c r="A290" s="2" t="inlineStr">
        <is>
          <t>John Philip Sousa</t>
        </is>
      </c>
      <c r="B290" s="2">
        <f>SUMPRODUCT(--(dataset!$C$2:$C$807=$A290))</f>
        <v/>
      </c>
      <c r="C290" s="3">
        <f>SUMPRODUCT((dataset!$C$2:$C$807=$A290)*dataset!$B$2:$B$807)/B290</f>
        <v/>
      </c>
      <c r="D290" s="2">
        <f>_xlfn.MINIFS(dataset!$B$2:$B$807,dataset!$C$2:$C$807,$A290)</f>
        <v/>
      </c>
      <c r="E290" s="2">
        <f>_xlfn.MAXIFS(dataset!$B$2:$B$807,dataset!$C$2:$C$807,$A290)</f>
        <v/>
      </c>
      <c r="F290" s="3">
        <f>IFERROR(SUMPRODUCT((dataset!$C$2:$C$807=$A290)*dataset!$I$2:$I$807)/SUMPRODUCT((dataset!$C$2:$C$807=$A290)*(dataset!$I$2:$I$807&lt;&gt;"")),"")</f>
        <v/>
      </c>
      <c r="G290" s="3">
        <f>IFERROR(SUMPRODUCT((dataset!$C$2:$C$807=$A290)*dataset!$J$2:$J$807)/SUMPRODUCT((dataset!$C$2:$C$807=$A290)*(dataset!$J$2:$J$807&lt;&gt;"")),"")</f>
        <v/>
      </c>
    </row>
    <row r="291">
      <c r="A291" s="2" t="inlineStr">
        <is>
          <t>John Powell</t>
        </is>
      </c>
      <c r="B291" s="2">
        <f>SUMPRODUCT(--(dataset!$C$2:$C$807=$A291))</f>
        <v/>
      </c>
      <c r="C291" s="3">
        <f>SUMPRODUCT((dataset!$C$2:$C$807=$A291)*dataset!$B$2:$B$807)/B291</f>
        <v/>
      </c>
      <c r="D291" s="2">
        <f>_xlfn.MINIFS(dataset!$B$2:$B$807,dataset!$C$2:$C$807,$A291)</f>
        <v/>
      </c>
      <c r="E291" s="2">
        <f>_xlfn.MAXIFS(dataset!$B$2:$B$807,dataset!$C$2:$C$807,$A291)</f>
        <v/>
      </c>
      <c r="F291" s="3">
        <f>IFERROR(SUMPRODUCT((dataset!$C$2:$C$807=$A291)*dataset!$I$2:$I$807)/SUMPRODUCT((dataset!$C$2:$C$807=$A291)*(dataset!$I$2:$I$807&lt;&gt;"")),"")</f>
        <v/>
      </c>
      <c r="G291" s="3">
        <f>IFERROR(SUMPRODUCT((dataset!$C$2:$C$807=$A291)*dataset!$J$2:$J$807)/SUMPRODUCT((dataset!$C$2:$C$807=$A291)*(dataset!$J$2:$J$807&lt;&gt;"")),"")</f>
        <v/>
      </c>
    </row>
    <row r="292">
      <c r="A292" s="2" t="inlineStr">
        <is>
          <t>John Rehm, Jr.</t>
        </is>
      </c>
      <c r="B292" s="2">
        <f>SUMPRODUCT(--(dataset!$C$2:$C$807=$A292))</f>
        <v/>
      </c>
      <c r="C292" s="3">
        <f>SUMPRODUCT((dataset!$C$2:$C$807=$A292)*dataset!$B$2:$B$807)/B292</f>
        <v/>
      </c>
      <c r="D292" s="2">
        <f>_xlfn.MINIFS(dataset!$B$2:$B$807,dataset!$C$2:$C$807,$A292)</f>
        <v/>
      </c>
      <c r="E292" s="2">
        <f>_xlfn.MAXIFS(dataset!$B$2:$B$807,dataset!$C$2:$C$807,$A292)</f>
        <v/>
      </c>
      <c r="F292" s="3">
        <f>IFERROR(SUMPRODUCT((dataset!$C$2:$C$807=$A292)*dataset!$I$2:$I$807)/SUMPRODUCT((dataset!$C$2:$C$807=$A292)*(dataset!$I$2:$I$807&lt;&gt;"")),"")</f>
        <v/>
      </c>
      <c r="G292" s="3">
        <f>IFERROR(SUMPRODUCT((dataset!$C$2:$C$807=$A292)*dataset!$J$2:$J$807)/SUMPRODUCT((dataset!$C$2:$C$807=$A292)*(dataset!$J$2:$J$807&lt;&gt;"")),"")</f>
        <v/>
      </c>
    </row>
    <row r="293">
      <c r="A293" s="2" t="inlineStr">
        <is>
          <t>John Welsman</t>
        </is>
      </c>
      <c r="B293" s="2">
        <f>SUMPRODUCT(--(dataset!$C$2:$C$807=$A293))</f>
        <v/>
      </c>
      <c r="C293" s="3">
        <f>SUMPRODUCT((dataset!$C$2:$C$807=$A293)*dataset!$B$2:$B$807)/B293</f>
        <v/>
      </c>
      <c r="D293" s="2">
        <f>_xlfn.MINIFS(dataset!$B$2:$B$807,dataset!$C$2:$C$807,$A293)</f>
        <v/>
      </c>
      <c r="E293" s="2">
        <f>_xlfn.MAXIFS(dataset!$B$2:$B$807,dataset!$C$2:$C$807,$A293)</f>
        <v/>
      </c>
      <c r="F293" s="3">
        <f>IFERROR(SUMPRODUCT((dataset!$C$2:$C$807=$A293)*dataset!$I$2:$I$807)/SUMPRODUCT((dataset!$C$2:$C$807=$A293)*(dataset!$I$2:$I$807&lt;&gt;"")),"")</f>
        <v/>
      </c>
      <c r="G293" s="3">
        <f>IFERROR(SUMPRODUCT((dataset!$C$2:$C$807=$A293)*dataset!$J$2:$J$807)/SUMPRODUCT((dataset!$C$2:$C$807=$A293)*(dataset!$J$2:$J$807&lt;&gt;"")),"")</f>
        <v/>
      </c>
    </row>
    <row r="294">
      <c r="A294" s="2" t="inlineStr">
        <is>
          <t>Johnny Marr</t>
        </is>
      </c>
      <c r="B294" s="2">
        <f>SUMPRODUCT(--(dataset!$C$2:$C$807=$A294))</f>
        <v/>
      </c>
      <c r="C294" s="3">
        <f>SUMPRODUCT((dataset!$C$2:$C$807=$A294)*dataset!$B$2:$B$807)/B294</f>
        <v/>
      </c>
      <c r="D294" s="2">
        <f>_xlfn.MINIFS(dataset!$B$2:$B$807,dataset!$C$2:$C$807,$A294)</f>
        <v/>
      </c>
      <c r="E294" s="2">
        <f>_xlfn.MAXIFS(dataset!$B$2:$B$807,dataset!$C$2:$C$807,$A294)</f>
        <v/>
      </c>
      <c r="F294" s="3">
        <f>IFERROR(SUMPRODUCT((dataset!$C$2:$C$807=$A294)*dataset!$I$2:$I$807)/SUMPRODUCT((dataset!$C$2:$C$807=$A294)*(dataset!$I$2:$I$807&lt;&gt;"")),"")</f>
        <v/>
      </c>
      <c r="G294" s="3">
        <f>IFERROR(SUMPRODUCT((dataset!$C$2:$C$807=$A294)*dataset!$J$2:$J$807)/SUMPRODUCT((dataset!$C$2:$C$807=$A294)*(dataset!$J$2:$J$807&lt;&gt;"")),"")</f>
        <v/>
      </c>
    </row>
    <row r="295">
      <c r="A295" s="2" t="inlineStr">
        <is>
          <t>Joia Araguàs</t>
        </is>
      </c>
      <c r="B295" s="2">
        <f>SUMPRODUCT(--(dataset!$C$2:$C$807=$A295))</f>
        <v/>
      </c>
      <c r="C295" s="3">
        <f>SUMPRODUCT((dataset!$C$2:$C$807=$A295)*dataset!$B$2:$B$807)/B295</f>
        <v/>
      </c>
      <c r="D295" s="2">
        <f>_xlfn.MINIFS(dataset!$B$2:$B$807,dataset!$C$2:$C$807,$A295)</f>
        <v/>
      </c>
      <c r="E295" s="2">
        <f>_xlfn.MAXIFS(dataset!$B$2:$B$807,dataset!$C$2:$C$807,$A295)</f>
        <v/>
      </c>
      <c r="F295" s="3">
        <f>IFERROR(SUMPRODUCT((dataset!$C$2:$C$807=$A295)*dataset!$I$2:$I$807)/SUMPRODUCT((dataset!$C$2:$C$807=$A295)*(dataset!$I$2:$I$807&lt;&gt;"")),"")</f>
        <v/>
      </c>
      <c r="G295" s="3">
        <f>IFERROR(SUMPRODUCT((dataset!$C$2:$C$807=$A295)*dataset!$J$2:$J$807)/SUMPRODUCT((dataset!$C$2:$C$807=$A295)*(dataset!$J$2:$J$807&lt;&gt;"")),"")</f>
        <v/>
      </c>
    </row>
    <row r="296">
      <c r="A296" s="2" t="inlineStr">
        <is>
          <t>Jonathan Sheehy</t>
        </is>
      </c>
      <c r="B296" s="2">
        <f>SUMPRODUCT(--(dataset!$C$2:$C$807=$A296))</f>
        <v/>
      </c>
      <c r="C296" s="3">
        <f>SUMPRODUCT((dataset!$C$2:$C$807=$A296)*dataset!$B$2:$B$807)/B296</f>
        <v/>
      </c>
      <c r="D296" s="2">
        <f>_xlfn.MINIFS(dataset!$B$2:$B$807,dataset!$C$2:$C$807,$A296)</f>
        <v/>
      </c>
      <c r="E296" s="2">
        <f>_xlfn.MAXIFS(dataset!$B$2:$B$807,dataset!$C$2:$C$807,$A296)</f>
        <v/>
      </c>
      <c r="F296" s="3">
        <f>IFERROR(SUMPRODUCT((dataset!$C$2:$C$807=$A296)*dataset!$I$2:$I$807)/SUMPRODUCT((dataset!$C$2:$C$807=$A296)*(dataset!$I$2:$I$807&lt;&gt;"")),"")</f>
        <v/>
      </c>
      <c r="G296" s="3">
        <f>IFERROR(SUMPRODUCT((dataset!$C$2:$C$807=$A296)*dataset!$J$2:$J$807)/SUMPRODUCT((dataset!$C$2:$C$807=$A296)*(dataset!$J$2:$J$807&lt;&gt;"")),"")</f>
        <v/>
      </c>
    </row>
    <row r="297">
      <c r="A297" s="2" t="inlineStr">
        <is>
          <t>Jordan Thukkaram</t>
        </is>
      </c>
      <c r="B297" s="2">
        <f>SUMPRODUCT(--(dataset!$C$2:$C$807=$A297))</f>
        <v/>
      </c>
      <c r="C297" s="3">
        <f>SUMPRODUCT((dataset!$C$2:$C$807=$A297)*dataset!$B$2:$B$807)/B297</f>
        <v/>
      </c>
      <c r="D297" s="2">
        <f>_xlfn.MINIFS(dataset!$B$2:$B$807,dataset!$C$2:$C$807,$A297)</f>
        <v/>
      </c>
      <c r="E297" s="2">
        <f>_xlfn.MAXIFS(dataset!$B$2:$B$807,dataset!$C$2:$C$807,$A297)</f>
        <v/>
      </c>
      <c r="F297" s="3">
        <f>IFERROR(SUMPRODUCT((dataset!$C$2:$C$807=$A297)*dataset!$I$2:$I$807)/SUMPRODUCT((dataset!$C$2:$C$807=$A297)*(dataset!$I$2:$I$807&lt;&gt;"")),"")</f>
        <v/>
      </c>
      <c r="G297" s="3">
        <f>IFERROR(SUMPRODUCT((dataset!$C$2:$C$807=$A297)*dataset!$J$2:$J$807)/SUMPRODUCT((dataset!$C$2:$C$807=$A297)*(dataset!$J$2:$J$807&lt;&gt;"")),"")</f>
        <v/>
      </c>
    </row>
    <row r="298">
      <c r="A298" s="2" t="inlineStr">
        <is>
          <t>Joseph F. Lamb &amp; Amelia L. Lamb</t>
        </is>
      </c>
      <c r="B298" s="2">
        <f>SUMPRODUCT(--(dataset!$C$2:$C$807=$A298))</f>
        <v/>
      </c>
      <c r="C298" s="3">
        <f>SUMPRODUCT((dataset!$C$2:$C$807=$A298)*dataset!$B$2:$B$807)/B298</f>
        <v/>
      </c>
      <c r="D298" s="2">
        <f>_xlfn.MINIFS(dataset!$B$2:$B$807,dataset!$C$2:$C$807,$A298)</f>
        <v/>
      </c>
      <c r="E298" s="2">
        <f>_xlfn.MAXIFS(dataset!$B$2:$B$807,dataset!$C$2:$C$807,$A298)</f>
        <v/>
      </c>
      <c r="F298" s="3">
        <f>IFERROR(SUMPRODUCT((dataset!$C$2:$C$807=$A298)*dataset!$I$2:$I$807)/SUMPRODUCT((dataset!$C$2:$C$807=$A298)*(dataset!$I$2:$I$807&lt;&gt;"")),"")</f>
        <v/>
      </c>
      <c r="G298" s="3">
        <f>IFERROR(SUMPRODUCT((dataset!$C$2:$C$807=$A298)*dataset!$J$2:$J$807)/SUMPRODUCT((dataset!$C$2:$C$807=$A298)*(dataset!$J$2:$J$807&lt;&gt;"")),"")</f>
        <v/>
      </c>
    </row>
    <row r="299">
      <c r="A299" s="2" t="inlineStr">
        <is>
          <t>Joseph Michael Daly</t>
        </is>
      </c>
      <c r="B299" s="2">
        <f>SUMPRODUCT(--(dataset!$C$2:$C$807=$A299))</f>
        <v/>
      </c>
      <c r="C299" s="3">
        <f>SUMPRODUCT((dataset!$C$2:$C$807=$A299)*dataset!$B$2:$B$807)/B299</f>
        <v/>
      </c>
      <c r="D299" s="2">
        <f>_xlfn.MINIFS(dataset!$B$2:$B$807,dataset!$C$2:$C$807,$A299)</f>
        <v/>
      </c>
      <c r="E299" s="2">
        <f>_xlfn.MAXIFS(dataset!$B$2:$B$807,dataset!$C$2:$C$807,$A299)</f>
        <v/>
      </c>
      <c r="F299" s="3">
        <f>IFERROR(SUMPRODUCT((dataset!$C$2:$C$807=$A299)*dataset!$I$2:$I$807)/SUMPRODUCT((dataset!$C$2:$C$807=$A299)*(dataset!$I$2:$I$807&lt;&gt;"")),"")</f>
        <v/>
      </c>
      <c r="G299" s="3">
        <f>IFERROR(SUMPRODUCT((dataset!$C$2:$C$807=$A299)*dataset!$J$2:$J$807)/SUMPRODUCT((dataset!$C$2:$C$807=$A299)*(dataset!$J$2:$J$807&lt;&gt;"")),"")</f>
        <v/>
      </c>
    </row>
    <row r="300">
      <c r="A300" s="2" t="inlineStr">
        <is>
          <t>Josh DaBell</t>
        </is>
      </c>
      <c r="B300" s="2">
        <f>SUMPRODUCT(--(dataset!$C$2:$C$807=$A300))</f>
        <v/>
      </c>
      <c r="C300" s="3">
        <f>SUMPRODUCT((dataset!$C$2:$C$807=$A300)*dataset!$B$2:$B$807)/B300</f>
        <v/>
      </c>
      <c r="D300" s="2">
        <f>_xlfn.MINIFS(dataset!$B$2:$B$807,dataset!$C$2:$C$807,$A300)</f>
        <v/>
      </c>
      <c r="E300" s="2">
        <f>_xlfn.MAXIFS(dataset!$B$2:$B$807,dataset!$C$2:$C$807,$A300)</f>
        <v/>
      </c>
      <c r="F300" s="3">
        <f>IFERROR(SUMPRODUCT((dataset!$C$2:$C$807=$A300)*dataset!$I$2:$I$807)/SUMPRODUCT((dataset!$C$2:$C$807=$A300)*(dataset!$I$2:$I$807&lt;&gt;"")),"")</f>
        <v/>
      </c>
      <c r="G300" s="3">
        <f>IFERROR(SUMPRODUCT((dataset!$C$2:$C$807=$A300)*dataset!$J$2:$J$807)/SUMPRODUCT((dataset!$C$2:$C$807=$A300)*(dataset!$J$2:$J$807&lt;&gt;"")),"")</f>
        <v/>
      </c>
    </row>
    <row r="301">
      <c r="A301" s="2" t="inlineStr">
        <is>
          <t>Josh Ian Marshall</t>
        </is>
      </c>
      <c r="B301" s="2">
        <f>SUMPRODUCT(--(dataset!$C$2:$C$807=$A301))</f>
        <v/>
      </c>
      <c r="C301" s="3">
        <f>SUMPRODUCT((dataset!$C$2:$C$807=$A301)*dataset!$B$2:$B$807)/B301</f>
        <v/>
      </c>
      <c r="D301" s="2">
        <f>_xlfn.MINIFS(dataset!$B$2:$B$807,dataset!$C$2:$C$807,$A301)</f>
        <v/>
      </c>
      <c r="E301" s="2">
        <f>_xlfn.MAXIFS(dataset!$B$2:$B$807,dataset!$C$2:$C$807,$A301)</f>
        <v/>
      </c>
      <c r="F301" s="3">
        <f>IFERROR(SUMPRODUCT((dataset!$C$2:$C$807=$A301)*dataset!$I$2:$I$807)/SUMPRODUCT((dataset!$C$2:$C$807=$A301)*(dataset!$I$2:$I$807&lt;&gt;"")),"")</f>
        <v/>
      </c>
      <c r="G301" s="3">
        <f>IFERROR(SUMPRODUCT((dataset!$C$2:$C$807=$A301)*dataset!$J$2:$J$807)/SUMPRODUCT((dataset!$C$2:$C$807=$A301)*(dataset!$J$2:$J$807&lt;&gt;"")),"")</f>
        <v/>
      </c>
    </row>
    <row r="302">
      <c r="A302" s="2" t="inlineStr">
        <is>
          <t>José Fernández Diaz</t>
        </is>
      </c>
      <c r="B302" s="2">
        <f>SUMPRODUCT(--(dataset!$C$2:$C$807=$A302))</f>
        <v/>
      </c>
      <c r="C302" s="3">
        <f>SUMPRODUCT((dataset!$C$2:$C$807=$A302)*dataset!$B$2:$B$807)/B302</f>
        <v/>
      </c>
      <c r="D302" s="2">
        <f>_xlfn.MINIFS(dataset!$B$2:$B$807,dataset!$C$2:$C$807,$A302)</f>
        <v/>
      </c>
      <c r="E302" s="2">
        <f>_xlfn.MAXIFS(dataset!$B$2:$B$807,dataset!$C$2:$C$807,$A302)</f>
        <v/>
      </c>
      <c r="F302" s="3">
        <f>IFERROR(SUMPRODUCT((dataset!$C$2:$C$807=$A302)*dataset!$I$2:$I$807)/SUMPRODUCT((dataset!$C$2:$C$807=$A302)*(dataset!$I$2:$I$807&lt;&gt;"")),"")</f>
        <v/>
      </c>
      <c r="G302" s="3">
        <f>IFERROR(SUMPRODUCT((dataset!$C$2:$C$807=$A302)*dataset!$J$2:$J$807)/SUMPRODUCT((dataset!$C$2:$C$807=$A302)*(dataset!$J$2:$J$807&lt;&gt;"")),"")</f>
        <v/>
      </c>
    </row>
    <row r="303">
      <c r="A303" s="2" t="inlineStr">
        <is>
          <t>José Soriano</t>
        </is>
      </c>
      <c r="B303" s="2">
        <f>SUMPRODUCT(--(dataset!$C$2:$C$807=$A303))</f>
        <v/>
      </c>
      <c r="C303" s="3">
        <f>SUMPRODUCT((dataset!$C$2:$C$807=$A303)*dataset!$B$2:$B$807)/B303</f>
        <v/>
      </c>
      <c r="D303" s="2">
        <f>_xlfn.MINIFS(dataset!$B$2:$B$807,dataset!$C$2:$C$807,$A303)</f>
        <v/>
      </c>
      <c r="E303" s="2">
        <f>_xlfn.MAXIFS(dataset!$B$2:$B$807,dataset!$C$2:$C$807,$A303)</f>
        <v/>
      </c>
      <c r="F303" s="3">
        <f>IFERROR(SUMPRODUCT((dataset!$C$2:$C$807=$A303)*dataset!$I$2:$I$807)/SUMPRODUCT((dataset!$C$2:$C$807=$A303)*(dataset!$I$2:$I$807&lt;&gt;"")),"")</f>
        <v/>
      </c>
      <c r="G303" s="3">
        <f>IFERROR(SUMPRODUCT((dataset!$C$2:$C$807=$A303)*dataset!$J$2:$J$807)/SUMPRODUCT((dataset!$C$2:$C$807=$A303)*(dataset!$J$2:$J$807&lt;&gt;"")),"")</f>
        <v/>
      </c>
    </row>
    <row r="304">
      <c r="A304" s="2" t="inlineStr">
        <is>
          <t>José-Daniel Martínez-Miranda</t>
        </is>
      </c>
      <c r="B304" s="2">
        <f>SUMPRODUCT(--(dataset!$C$2:$C$807=$A304))</f>
        <v/>
      </c>
      <c r="C304" s="3">
        <f>SUMPRODUCT((dataset!$C$2:$C$807=$A304)*dataset!$B$2:$B$807)/B304</f>
        <v/>
      </c>
      <c r="D304" s="2">
        <f>_xlfn.MINIFS(dataset!$B$2:$B$807,dataset!$C$2:$C$807,$A304)</f>
        <v/>
      </c>
      <c r="E304" s="2">
        <f>_xlfn.MAXIFS(dataset!$B$2:$B$807,dataset!$C$2:$C$807,$A304)</f>
        <v/>
      </c>
      <c r="F304" s="3">
        <f>IFERROR(SUMPRODUCT((dataset!$C$2:$C$807=$A304)*dataset!$I$2:$I$807)/SUMPRODUCT((dataset!$C$2:$C$807=$A304)*(dataset!$I$2:$I$807&lt;&gt;"")),"")</f>
        <v/>
      </c>
      <c r="G304" s="3">
        <f>IFERROR(SUMPRODUCT((dataset!$C$2:$C$807=$A304)*dataset!$J$2:$J$807)/SUMPRODUCT((dataset!$C$2:$C$807=$A304)*(dataset!$J$2:$J$807&lt;&gt;"")),"")</f>
        <v/>
      </c>
    </row>
    <row r="305">
      <c r="A305" s="2" t="inlineStr">
        <is>
          <t>Juha Tapio</t>
        </is>
      </c>
      <c r="B305" s="2">
        <f>SUMPRODUCT(--(dataset!$C$2:$C$807=$A305))</f>
        <v/>
      </c>
      <c r="C305" s="3">
        <f>SUMPRODUCT((dataset!$C$2:$C$807=$A305)*dataset!$B$2:$B$807)/B305</f>
        <v/>
      </c>
      <c r="D305" s="2">
        <f>_xlfn.MINIFS(dataset!$B$2:$B$807,dataset!$C$2:$C$807,$A305)</f>
        <v/>
      </c>
      <c r="E305" s="2">
        <f>_xlfn.MAXIFS(dataset!$B$2:$B$807,dataset!$C$2:$C$807,$A305)</f>
        <v/>
      </c>
      <c r="F305" s="3">
        <f>IFERROR(SUMPRODUCT((dataset!$C$2:$C$807=$A305)*dataset!$I$2:$I$807)/SUMPRODUCT((dataset!$C$2:$C$807=$A305)*(dataset!$I$2:$I$807&lt;&gt;"")),"")</f>
        <v/>
      </c>
      <c r="G305" s="3">
        <f>IFERROR(SUMPRODUCT((dataset!$C$2:$C$807=$A305)*dataset!$J$2:$J$807)/SUMPRODUCT((dataset!$C$2:$C$807=$A305)*(dataset!$J$2:$J$807&lt;&gt;"")),"")</f>
        <v/>
      </c>
    </row>
    <row r="306">
      <c r="A306" s="2" t="inlineStr">
        <is>
          <t>Justin Clérice</t>
        </is>
      </c>
      <c r="B306" s="2">
        <f>SUMPRODUCT(--(dataset!$C$2:$C$807=$A306))</f>
        <v/>
      </c>
      <c r="C306" s="3">
        <f>SUMPRODUCT((dataset!$C$2:$C$807=$A306)*dataset!$B$2:$B$807)/B306</f>
        <v/>
      </c>
      <c r="D306" s="2">
        <f>_xlfn.MINIFS(dataset!$B$2:$B$807,dataset!$C$2:$C$807,$A306)</f>
        <v/>
      </c>
      <c r="E306" s="2">
        <f>_xlfn.MAXIFS(dataset!$B$2:$B$807,dataset!$C$2:$C$807,$A306)</f>
        <v/>
      </c>
      <c r="F306" s="3">
        <f>IFERROR(SUMPRODUCT((dataset!$C$2:$C$807=$A306)*dataset!$I$2:$I$807)/SUMPRODUCT((dataset!$C$2:$C$807=$A306)*(dataset!$I$2:$I$807&lt;&gt;"")),"")</f>
        <v/>
      </c>
      <c r="G306" s="3">
        <f>IFERROR(SUMPRODUCT((dataset!$C$2:$C$807=$A306)*dataset!$J$2:$J$807)/SUMPRODUCT((dataset!$C$2:$C$807=$A306)*(dataset!$J$2:$J$807&lt;&gt;"")),"")</f>
        <v/>
      </c>
    </row>
    <row r="307">
      <c r="A307" s="2" t="inlineStr">
        <is>
          <t>Justine Shelton</t>
        </is>
      </c>
      <c r="B307" s="2">
        <f>SUMPRODUCT(--(dataset!$C$2:$C$807=$A307))</f>
        <v/>
      </c>
      <c r="C307" s="3">
        <f>SUMPRODUCT((dataset!$C$2:$C$807=$A307)*dataset!$B$2:$B$807)/B307</f>
        <v/>
      </c>
      <c r="D307" s="2">
        <f>_xlfn.MINIFS(dataset!$B$2:$B$807,dataset!$C$2:$C$807,$A307)</f>
        <v/>
      </c>
      <c r="E307" s="2">
        <f>_xlfn.MAXIFS(dataset!$B$2:$B$807,dataset!$C$2:$C$807,$A307)</f>
        <v/>
      </c>
      <c r="F307" s="3">
        <f>IFERROR(SUMPRODUCT((dataset!$C$2:$C$807=$A307)*dataset!$I$2:$I$807)/SUMPRODUCT((dataset!$C$2:$C$807=$A307)*(dataset!$I$2:$I$807&lt;&gt;"")),"")</f>
        <v/>
      </c>
      <c r="G307" s="3">
        <f>IFERROR(SUMPRODUCT((dataset!$C$2:$C$807=$A307)*dataset!$J$2:$J$807)/SUMPRODUCT((dataset!$C$2:$C$807=$A307)*(dataset!$J$2:$J$807&lt;&gt;"")),"")</f>
        <v/>
      </c>
    </row>
    <row r="308">
      <c r="A308" s="2" t="inlineStr">
        <is>
          <t>K. S.</t>
        </is>
      </c>
      <c r="B308" s="2">
        <f>SUMPRODUCT(--(dataset!$C$2:$C$807=$A308))</f>
        <v/>
      </c>
      <c r="C308" s="3">
        <f>SUMPRODUCT((dataset!$C$2:$C$807=$A308)*dataset!$B$2:$B$807)/B308</f>
        <v/>
      </c>
      <c r="D308" s="2">
        <f>_xlfn.MINIFS(dataset!$B$2:$B$807,dataset!$C$2:$C$807,$A308)</f>
        <v/>
      </c>
      <c r="E308" s="2">
        <f>_xlfn.MAXIFS(dataset!$B$2:$B$807,dataset!$C$2:$C$807,$A308)</f>
        <v/>
      </c>
      <c r="F308" s="3">
        <f>IFERROR(SUMPRODUCT((dataset!$C$2:$C$807=$A308)*dataset!$I$2:$I$807)/SUMPRODUCT((dataset!$C$2:$C$807=$A308)*(dataset!$I$2:$I$807&lt;&gt;"")),"")</f>
        <v/>
      </c>
      <c r="G308" s="3">
        <f>IFERROR(SUMPRODUCT((dataset!$C$2:$C$807=$A308)*dataset!$J$2:$J$807)/SUMPRODUCT((dataset!$C$2:$C$807=$A308)*(dataset!$J$2:$J$807&lt;&gt;"")),"")</f>
        <v/>
      </c>
    </row>
    <row r="309">
      <c r="A309" s="2" t="inlineStr">
        <is>
          <t>K.A. Karlov</t>
        </is>
      </c>
      <c r="B309" s="2">
        <f>SUMPRODUCT(--(dataset!$C$2:$C$807=$A309))</f>
        <v/>
      </c>
      <c r="C309" s="3">
        <f>SUMPRODUCT((dataset!$C$2:$C$807=$A309)*dataset!$B$2:$B$807)/B309</f>
        <v/>
      </c>
      <c r="D309" s="2">
        <f>_xlfn.MINIFS(dataset!$B$2:$B$807,dataset!$C$2:$C$807,$A309)</f>
        <v/>
      </c>
      <c r="E309" s="2">
        <f>_xlfn.MAXIFS(dataset!$B$2:$B$807,dataset!$C$2:$C$807,$A309)</f>
        <v/>
      </c>
      <c r="F309" s="3">
        <f>IFERROR(SUMPRODUCT((dataset!$C$2:$C$807=$A309)*dataset!$I$2:$I$807)/SUMPRODUCT((dataset!$C$2:$C$807=$A309)*(dataset!$I$2:$I$807&lt;&gt;"")),"")</f>
        <v/>
      </c>
      <c r="G309" s="3">
        <f>IFERROR(SUMPRODUCT((dataset!$C$2:$C$807=$A309)*dataset!$J$2:$J$807)/SUMPRODUCT((dataset!$C$2:$C$807=$A309)*(dataset!$J$2:$J$807&lt;&gt;"")),"")</f>
        <v/>
      </c>
    </row>
    <row r="310">
      <c r="A310" s="2" t="inlineStr">
        <is>
          <t>Karl King</t>
        </is>
      </c>
      <c r="B310" s="2">
        <f>SUMPRODUCT(--(dataset!$C$2:$C$807=$A310))</f>
        <v/>
      </c>
      <c r="C310" s="3">
        <f>SUMPRODUCT((dataset!$C$2:$C$807=$A310)*dataset!$B$2:$B$807)/B310</f>
        <v/>
      </c>
      <c r="D310" s="2">
        <f>_xlfn.MINIFS(dataset!$B$2:$B$807,dataset!$C$2:$C$807,$A310)</f>
        <v/>
      </c>
      <c r="E310" s="2">
        <f>_xlfn.MAXIFS(dataset!$B$2:$B$807,dataset!$C$2:$C$807,$A310)</f>
        <v/>
      </c>
      <c r="F310" s="3">
        <f>IFERROR(SUMPRODUCT((dataset!$C$2:$C$807=$A310)*dataset!$I$2:$I$807)/SUMPRODUCT((dataset!$C$2:$C$807=$A310)*(dataset!$I$2:$I$807&lt;&gt;"")),"")</f>
        <v/>
      </c>
      <c r="G310" s="3">
        <f>IFERROR(SUMPRODUCT((dataset!$C$2:$C$807=$A310)*dataset!$J$2:$J$807)/SUMPRODUCT((dataset!$C$2:$C$807=$A310)*(dataset!$J$2:$J$807&lt;&gt;"")),"")</f>
        <v/>
      </c>
    </row>
    <row r="311">
      <c r="A311" s="2" t="inlineStr">
        <is>
          <t>Katherina Ward</t>
        </is>
      </c>
      <c r="B311" s="2">
        <f>SUMPRODUCT(--(dataset!$C$2:$C$807=$A311))</f>
        <v/>
      </c>
      <c r="C311" s="3">
        <f>SUMPRODUCT((dataset!$C$2:$C$807=$A311)*dataset!$B$2:$B$807)/B311</f>
        <v/>
      </c>
      <c r="D311" s="2">
        <f>_xlfn.MINIFS(dataset!$B$2:$B$807,dataset!$C$2:$C$807,$A311)</f>
        <v/>
      </c>
      <c r="E311" s="2">
        <f>_xlfn.MAXIFS(dataset!$B$2:$B$807,dataset!$C$2:$C$807,$A311)</f>
        <v/>
      </c>
      <c r="F311" s="3">
        <f>IFERROR(SUMPRODUCT((dataset!$C$2:$C$807=$A311)*dataset!$I$2:$I$807)/SUMPRODUCT((dataset!$C$2:$C$807=$A311)*(dataset!$I$2:$I$807&lt;&gt;"")),"")</f>
        <v/>
      </c>
      <c r="G311" s="3">
        <f>IFERROR(SUMPRODUCT((dataset!$C$2:$C$807=$A311)*dataset!$J$2:$J$807)/SUMPRODUCT((dataset!$C$2:$C$807=$A311)*(dataset!$J$2:$J$807&lt;&gt;"")),"")</f>
        <v/>
      </c>
    </row>
    <row r="312">
      <c r="A312" s="2" t="inlineStr">
        <is>
          <t>Keith Jarrett</t>
        </is>
      </c>
      <c r="B312" s="2">
        <f>SUMPRODUCT(--(dataset!$C$2:$C$807=$A312))</f>
        <v/>
      </c>
      <c r="C312" s="3">
        <f>SUMPRODUCT((dataset!$C$2:$C$807=$A312)*dataset!$B$2:$B$807)/B312</f>
        <v/>
      </c>
      <c r="D312" s="2">
        <f>_xlfn.MINIFS(dataset!$B$2:$B$807,dataset!$C$2:$C$807,$A312)</f>
        <v/>
      </c>
      <c r="E312" s="2">
        <f>_xlfn.MAXIFS(dataset!$B$2:$B$807,dataset!$C$2:$C$807,$A312)</f>
        <v/>
      </c>
      <c r="F312" s="3">
        <f>IFERROR(SUMPRODUCT((dataset!$C$2:$C$807=$A312)*dataset!$I$2:$I$807)/SUMPRODUCT((dataset!$C$2:$C$807=$A312)*(dataset!$I$2:$I$807&lt;&gt;"")),"")</f>
        <v/>
      </c>
      <c r="G312" s="3">
        <f>IFERROR(SUMPRODUCT((dataset!$C$2:$C$807=$A312)*dataset!$J$2:$J$807)/SUMPRODUCT((dataset!$C$2:$C$807=$A312)*(dataset!$J$2:$J$807&lt;&gt;"")),"")</f>
        <v/>
      </c>
    </row>
    <row r="313">
      <c r="A313" s="2" t="inlineStr">
        <is>
          <t>Kelsey Simpkins</t>
        </is>
      </c>
      <c r="B313" s="2">
        <f>SUMPRODUCT(--(dataset!$C$2:$C$807=$A313))</f>
        <v/>
      </c>
      <c r="C313" s="3">
        <f>SUMPRODUCT((dataset!$C$2:$C$807=$A313)*dataset!$B$2:$B$807)/B313</f>
        <v/>
      </c>
      <c r="D313" s="2">
        <f>_xlfn.MINIFS(dataset!$B$2:$B$807,dataset!$C$2:$C$807,$A313)</f>
        <v/>
      </c>
      <c r="E313" s="2">
        <f>_xlfn.MAXIFS(dataset!$B$2:$B$807,dataset!$C$2:$C$807,$A313)</f>
        <v/>
      </c>
      <c r="F313" s="3">
        <f>IFERROR(SUMPRODUCT((dataset!$C$2:$C$807=$A313)*dataset!$I$2:$I$807)/SUMPRODUCT((dataset!$C$2:$C$807=$A313)*(dataset!$I$2:$I$807&lt;&gt;"")),"")</f>
        <v/>
      </c>
      <c r="G313" s="3">
        <f>IFERROR(SUMPRODUCT((dataset!$C$2:$C$807=$A313)*dataset!$J$2:$J$807)/SUMPRODUCT((dataset!$C$2:$C$807=$A313)*(dataset!$J$2:$J$807&lt;&gt;"")),"")</f>
        <v/>
      </c>
    </row>
    <row r="314">
      <c r="A314" s="2" t="inlineStr">
        <is>
          <t>Kenji Hiramatsu</t>
        </is>
      </c>
      <c r="B314" s="2">
        <f>SUMPRODUCT(--(dataset!$C$2:$C$807=$A314))</f>
        <v/>
      </c>
      <c r="C314" s="3">
        <f>SUMPRODUCT((dataset!$C$2:$C$807=$A314)*dataset!$B$2:$B$807)/B314</f>
        <v/>
      </c>
      <c r="D314" s="2">
        <f>_xlfn.MINIFS(dataset!$B$2:$B$807,dataset!$C$2:$C$807,$A314)</f>
        <v/>
      </c>
      <c r="E314" s="2">
        <f>_xlfn.MAXIFS(dataset!$B$2:$B$807,dataset!$C$2:$C$807,$A314)</f>
        <v/>
      </c>
      <c r="F314" s="3">
        <f>IFERROR(SUMPRODUCT((dataset!$C$2:$C$807=$A314)*dataset!$I$2:$I$807)/SUMPRODUCT((dataset!$C$2:$C$807=$A314)*(dataset!$I$2:$I$807&lt;&gt;"")),"")</f>
        <v/>
      </c>
      <c r="G314" s="3">
        <f>IFERROR(SUMPRODUCT((dataset!$C$2:$C$807=$A314)*dataset!$J$2:$J$807)/SUMPRODUCT((dataset!$C$2:$C$807=$A314)*(dataset!$J$2:$J$807&lt;&gt;"")),"")</f>
        <v/>
      </c>
    </row>
    <row r="315">
      <c r="A315" s="2" t="inlineStr">
        <is>
          <t>Kenny Yang</t>
        </is>
      </c>
      <c r="B315" s="2">
        <f>SUMPRODUCT(--(dataset!$C$2:$C$807=$A315))</f>
        <v/>
      </c>
      <c r="C315" s="3">
        <f>SUMPRODUCT((dataset!$C$2:$C$807=$A315)*dataset!$B$2:$B$807)/B315</f>
        <v/>
      </c>
      <c r="D315" s="2">
        <f>_xlfn.MINIFS(dataset!$B$2:$B$807,dataset!$C$2:$C$807,$A315)</f>
        <v/>
      </c>
      <c r="E315" s="2">
        <f>_xlfn.MAXIFS(dataset!$B$2:$B$807,dataset!$C$2:$C$807,$A315)</f>
        <v/>
      </c>
      <c r="F315" s="3">
        <f>IFERROR(SUMPRODUCT((dataset!$C$2:$C$807=$A315)*dataset!$I$2:$I$807)/SUMPRODUCT((dataset!$C$2:$C$807=$A315)*(dataset!$I$2:$I$807&lt;&gt;"")),"")</f>
        <v/>
      </c>
      <c r="G315" s="3">
        <f>IFERROR(SUMPRODUCT((dataset!$C$2:$C$807=$A315)*dataset!$J$2:$J$807)/SUMPRODUCT((dataset!$C$2:$C$807=$A315)*(dataset!$J$2:$J$807&lt;&gt;"")),"")</f>
        <v/>
      </c>
    </row>
    <row r="316">
      <c r="A316" s="2" t="inlineStr">
        <is>
          <t>Kevin</t>
        </is>
      </c>
      <c r="B316" s="2">
        <f>SUMPRODUCT(--(dataset!$C$2:$C$807=$A316))</f>
        <v/>
      </c>
      <c r="C316" s="3">
        <f>SUMPRODUCT((dataset!$C$2:$C$807=$A316)*dataset!$B$2:$B$807)/B316</f>
        <v/>
      </c>
      <c r="D316" s="2">
        <f>_xlfn.MINIFS(dataset!$B$2:$B$807,dataset!$C$2:$C$807,$A316)</f>
        <v/>
      </c>
      <c r="E316" s="2">
        <f>_xlfn.MAXIFS(dataset!$B$2:$B$807,dataset!$C$2:$C$807,$A316)</f>
        <v/>
      </c>
      <c r="F316" s="3">
        <f>IFERROR(SUMPRODUCT((dataset!$C$2:$C$807=$A316)*dataset!$I$2:$I$807)/SUMPRODUCT((dataset!$C$2:$C$807=$A316)*(dataset!$I$2:$I$807&lt;&gt;"")),"")</f>
        <v/>
      </c>
      <c r="G316" s="3">
        <f>IFERROR(SUMPRODUCT((dataset!$C$2:$C$807=$A316)*dataset!$J$2:$J$807)/SUMPRODUCT((dataset!$C$2:$C$807=$A316)*(dataset!$J$2:$J$807&lt;&gt;"")),"")</f>
        <v/>
      </c>
    </row>
    <row r="317">
      <c r="A317" s="2" t="inlineStr">
        <is>
          <t>Kina</t>
        </is>
      </c>
      <c r="B317" s="2">
        <f>SUMPRODUCT(--(dataset!$C$2:$C$807=$A317))</f>
        <v/>
      </c>
      <c r="C317" s="3">
        <f>SUMPRODUCT((dataset!$C$2:$C$807=$A317)*dataset!$B$2:$B$807)/B317</f>
        <v/>
      </c>
      <c r="D317" s="2">
        <f>_xlfn.MINIFS(dataset!$B$2:$B$807,dataset!$C$2:$C$807,$A317)</f>
        <v/>
      </c>
      <c r="E317" s="2">
        <f>_xlfn.MAXIFS(dataset!$B$2:$B$807,dataset!$C$2:$C$807,$A317)</f>
        <v/>
      </c>
      <c r="F317" s="3">
        <f>IFERROR(SUMPRODUCT((dataset!$C$2:$C$807=$A317)*dataset!$I$2:$I$807)/SUMPRODUCT((dataset!$C$2:$C$807=$A317)*(dataset!$I$2:$I$807&lt;&gt;"")),"")</f>
        <v/>
      </c>
      <c r="G317" s="3">
        <f>IFERROR(SUMPRODUCT((dataset!$C$2:$C$807=$A317)*dataset!$J$2:$J$807)/SUMPRODUCT((dataset!$C$2:$C$807=$A317)*(dataset!$J$2:$J$807&lt;&gt;"")),"")</f>
        <v/>
      </c>
    </row>
    <row r="318">
      <c r="A318" s="2" t="inlineStr">
        <is>
          <t>KingAvery</t>
        </is>
      </c>
      <c r="B318" s="2">
        <f>SUMPRODUCT(--(dataset!$C$2:$C$807=$A318))</f>
        <v/>
      </c>
      <c r="C318" s="3">
        <f>SUMPRODUCT((dataset!$C$2:$C$807=$A318)*dataset!$B$2:$B$807)/B318</f>
        <v/>
      </c>
      <c r="D318" s="2">
        <f>_xlfn.MINIFS(dataset!$B$2:$B$807,dataset!$C$2:$C$807,$A318)</f>
        <v/>
      </c>
      <c r="E318" s="2">
        <f>_xlfn.MAXIFS(dataset!$B$2:$B$807,dataset!$C$2:$C$807,$A318)</f>
        <v/>
      </c>
      <c r="F318" s="3">
        <f>IFERROR(SUMPRODUCT((dataset!$C$2:$C$807=$A318)*dataset!$I$2:$I$807)/SUMPRODUCT((dataset!$C$2:$C$807=$A318)*(dataset!$I$2:$I$807&lt;&gt;"")),"")</f>
        <v/>
      </c>
      <c r="G318" s="3">
        <f>IFERROR(SUMPRODUCT((dataset!$C$2:$C$807=$A318)*dataset!$J$2:$J$807)/SUMPRODUCT((dataset!$C$2:$C$807=$A318)*(dataset!$J$2:$J$807&lt;&gt;"")),"")</f>
        <v/>
      </c>
    </row>
    <row r="319">
      <c r="A319" s="2" t="inlineStr">
        <is>
          <t>Kingsmore Turner</t>
        </is>
      </c>
      <c r="B319" s="2">
        <f>SUMPRODUCT(--(dataset!$C$2:$C$807=$A319))</f>
        <v/>
      </c>
      <c r="C319" s="3">
        <f>SUMPRODUCT((dataset!$C$2:$C$807=$A319)*dataset!$B$2:$B$807)/B319</f>
        <v/>
      </c>
      <c r="D319" s="2">
        <f>_xlfn.MINIFS(dataset!$B$2:$B$807,dataset!$C$2:$C$807,$A319)</f>
        <v/>
      </c>
      <c r="E319" s="2">
        <f>_xlfn.MAXIFS(dataset!$B$2:$B$807,dataset!$C$2:$C$807,$A319)</f>
        <v/>
      </c>
      <c r="F319" s="3">
        <f>IFERROR(SUMPRODUCT((dataset!$C$2:$C$807=$A319)*dataset!$I$2:$I$807)/SUMPRODUCT((dataset!$C$2:$C$807=$A319)*(dataset!$I$2:$I$807&lt;&gt;"")),"")</f>
        <v/>
      </c>
      <c r="G319" s="3">
        <f>IFERROR(SUMPRODUCT((dataset!$C$2:$C$807=$A319)*dataset!$J$2:$J$807)/SUMPRODUCT((dataset!$C$2:$C$807=$A319)*(dataset!$J$2:$J$807&lt;&gt;"")),"")</f>
        <v/>
      </c>
    </row>
    <row r="320">
      <c r="A320" s="2" t="inlineStr">
        <is>
          <t>Kolton Bostrom</t>
        </is>
      </c>
      <c r="B320" s="2">
        <f>SUMPRODUCT(--(dataset!$C$2:$C$807=$A320))</f>
        <v/>
      </c>
      <c r="C320" s="3">
        <f>SUMPRODUCT((dataset!$C$2:$C$807=$A320)*dataset!$B$2:$B$807)/B320</f>
        <v/>
      </c>
      <c r="D320" s="2">
        <f>_xlfn.MINIFS(dataset!$B$2:$B$807,dataset!$C$2:$C$807,$A320)</f>
        <v/>
      </c>
      <c r="E320" s="2">
        <f>_xlfn.MAXIFS(dataset!$B$2:$B$807,dataset!$C$2:$C$807,$A320)</f>
        <v/>
      </c>
      <c r="F320" s="3">
        <f>IFERROR(SUMPRODUCT((dataset!$C$2:$C$807=$A320)*dataset!$I$2:$I$807)/SUMPRODUCT((dataset!$C$2:$C$807=$A320)*(dataset!$I$2:$I$807&lt;&gt;"")),"")</f>
        <v/>
      </c>
      <c r="G320" s="3">
        <f>IFERROR(SUMPRODUCT((dataset!$C$2:$C$807=$A320)*dataset!$J$2:$J$807)/SUMPRODUCT((dataset!$C$2:$C$807=$A320)*(dataset!$J$2:$J$807&lt;&gt;"")),"")</f>
        <v/>
      </c>
    </row>
    <row r="321">
      <c r="A321" s="2" t="inlineStr">
        <is>
          <t>Konstantin Listov</t>
        </is>
      </c>
      <c r="B321" s="2">
        <f>SUMPRODUCT(--(dataset!$C$2:$C$807=$A321))</f>
        <v/>
      </c>
      <c r="C321" s="3">
        <f>SUMPRODUCT((dataset!$C$2:$C$807=$A321)*dataset!$B$2:$B$807)/B321</f>
        <v/>
      </c>
      <c r="D321" s="2">
        <f>_xlfn.MINIFS(dataset!$B$2:$B$807,dataset!$C$2:$C$807,$A321)</f>
        <v/>
      </c>
      <c r="E321" s="2">
        <f>_xlfn.MAXIFS(dataset!$B$2:$B$807,dataset!$C$2:$C$807,$A321)</f>
        <v/>
      </c>
      <c r="F321" s="3">
        <f>IFERROR(SUMPRODUCT((dataset!$C$2:$C$807=$A321)*dataset!$I$2:$I$807)/SUMPRODUCT((dataset!$C$2:$C$807=$A321)*(dataset!$I$2:$I$807&lt;&gt;"")),"")</f>
        <v/>
      </c>
      <c r="G321" s="3">
        <f>IFERROR(SUMPRODUCT((dataset!$C$2:$C$807=$A321)*dataset!$J$2:$J$807)/SUMPRODUCT((dataset!$C$2:$C$807=$A321)*(dataset!$J$2:$J$807&lt;&gt;"")),"")</f>
        <v/>
      </c>
    </row>
    <row r="322">
      <c r="A322" s="2" t="inlineStr">
        <is>
          <t>Kris Küblycyk</t>
        </is>
      </c>
      <c r="B322" s="2">
        <f>SUMPRODUCT(--(dataset!$C$2:$C$807=$A322))</f>
        <v/>
      </c>
      <c r="C322" s="3">
        <f>SUMPRODUCT((dataset!$C$2:$C$807=$A322)*dataset!$B$2:$B$807)/B322</f>
        <v/>
      </c>
      <c r="D322" s="2">
        <f>_xlfn.MINIFS(dataset!$B$2:$B$807,dataset!$C$2:$C$807,$A322)</f>
        <v/>
      </c>
      <c r="E322" s="2">
        <f>_xlfn.MAXIFS(dataset!$B$2:$B$807,dataset!$C$2:$C$807,$A322)</f>
        <v/>
      </c>
      <c r="F322" s="3">
        <f>IFERROR(SUMPRODUCT((dataset!$C$2:$C$807=$A322)*dataset!$I$2:$I$807)/SUMPRODUCT((dataset!$C$2:$C$807=$A322)*(dataset!$I$2:$I$807&lt;&gt;"")),"")</f>
        <v/>
      </c>
      <c r="G322" s="3">
        <f>IFERROR(SUMPRODUCT((dataset!$C$2:$C$807=$A322)*dataset!$J$2:$J$807)/SUMPRODUCT((dataset!$C$2:$C$807=$A322)*(dataset!$J$2:$J$807&lt;&gt;"")),"")</f>
        <v/>
      </c>
    </row>
    <row r="323">
      <c r="A323" s="2" t="inlineStr">
        <is>
          <t>Kristen Anderson-Lopez</t>
        </is>
      </c>
      <c r="B323" s="2">
        <f>SUMPRODUCT(--(dataset!$C$2:$C$807=$A323))</f>
        <v/>
      </c>
      <c r="C323" s="3">
        <f>SUMPRODUCT((dataset!$C$2:$C$807=$A323)*dataset!$B$2:$B$807)/B323</f>
        <v/>
      </c>
      <c r="D323" s="2">
        <f>_xlfn.MINIFS(dataset!$B$2:$B$807,dataset!$C$2:$C$807,$A323)</f>
        <v/>
      </c>
      <c r="E323" s="2">
        <f>_xlfn.MAXIFS(dataset!$B$2:$B$807,dataset!$C$2:$C$807,$A323)</f>
        <v/>
      </c>
      <c r="F323" s="3">
        <f>IFERROR(SUMPRODUCT((dataset!$C$2:$C$807=$A323)*dataset!$I$2:$I$807)/SUMPRODUCT((dataset!$C$2:$C$807=$A323)*(dataset!$I$2:$I$807&lt;&gt;"")),"")</f>
        <v/>
      </c>
      <c r="G323" s="3">
        <f>IFERROR(SUMPRODUCT((dataset!$C$2:$C$807=$A323)*dataset!$J$2:$J$807)/SUMPRODUCT((dataset!$C$2:$C$807=$A323)*(dataset!$J$2:$J$807&lt;&gt;"")),"")</f>
        <v/>
      </c>
    </row>
    <row r="324">
      <c r="A324" s="2" t="inlineStr">
        <is>
          <t>Kristina Gao</t>
        </is>
      </c>
      <c r="B324" s="2">
        <f>SUMPRODUCT(--(dataset!$C$2:$C$807=$A324))</f>
        <v/>
      </c>
      <c r="C324" s="3">
        <f>SUMPRODUCT((dataset!$C$2:$C$807=$A324)*dataset!$B$2:$B$807)/B324</f>
        <v/>
      </c>
      <c r="D324" s="2">
        <f>_xlfn.MINIFS(dataset!$B$2:$B$807,dataset!$C$2:$C$807,$A324)</f>
        <v/>
      </c>
      <c r="E324" s="2">
        <f>_xlfn.MAXIFS(dataset!$B$2:$B$807,dataset!$C$2:$C$807,$A324)</f>
        <v/>
      </c>
      <c r="F324" s="3">
        <f>IFERROR(SUMPRODUCT((dataset!$C$2:$C$807=$A324)*dataset!$I$2:$I$807)/SUMPRODUCT((dataset!$C$2:$C$807=$A324)*(dataset!$I$2:$I$807&lt;&gt;"")),"")</f>
        <v/>
      </c>
      <c r="G324" s="3">
        <f>IFERROR(SUMPRODUCT((dataset!$C$2:$C$807=$A324)*dataset!$J$2:$J$807)/SUMPRODUCT((dataset!$C$2:$C$807=$A324)*(dataset!$J$2:$J$807&lt;&gt;"")),"")</f>
        <v/>
      </c>
    </row>
    <row r="325">
      <c r="A325" s="2" t="inlineStr">
        <is>
          <t>Kurt Cobain &amp; Ramin Djawadi</t>
        </is>
      </c>
      <c r="B325" s="2">
        <f>SUMPRODUCT(--(dataset!$C$2:$C$807=$A325))</f>
        <v/>
      </c>
      <c r="C325" s="3">
        <f>SUMPRODUCT((dataset!$C$2:$C$807=$A325)*dataset!$B$2:$B$807)/B325</f>
        <v/>
      </c>
      <c r="D325" s="2">
        <f>_xlfn.MINIFS(dataset!$B$2:$B$807,dataset!$C$2:$C$807,$A325)</f>
        <v/>
      </c>
      <c r="E325" s="2">
        <f>_xlfn.MAXIFS(dataset!$B$2:$B$807,dataset!$C$2:$C$807,$A325)</f>
        <v/>
      </c>
      <c r="F325" s="3">
        <f>IFERROR(SUMPRODUCT((dataset!$C$2:$C$807=$A325)*dataset!$I$2:$I$807)/SUMPRODUCT((dataset!$C$2:$C$807=$A325)*(dataset!$I$2:$I$807&lt;&gt;"")),"")</f>
        <v/>
      </c>
      <c r="G325" s="3">
        <f>IFERROR(SUMPRODUCT((dataset!$C$2:$C$807=$A325)*dataset!$J$2:$J$807)/SUMPRODUCT((dataset!$C$2:$C$807=$A325)*(dataset!$J$2:$J$807&lt;&gt;"")),"")</f>
        <v/>
      </c>
    </row>
    <row r="326">
      <c r="A326" s="2" t="inlineStr">
        <is>
          <t>Kōichi Sugiyama</t>
        </is>
      </c>
      <c r="B326" s="2">
        <f>SUMPRODUCT(--(dataset!$C$2:$C$807=$A326))</f>
        <v/>
      </c>
      <c r="C326" s="3">
        <f>SUMPRODUCT((dataset!$C$2:$C$807=$A326)*dataset!$B$2:$B$807)/B326</f>
        <v/>
      </c>
      <c r="D326" s="2">
        <f>_xlfn.MINIFS(dataset!$B$2:$B$807,dataset!$C$2:$C$807,$A326)</f>
        <v/>
      </c>
      <c r="E326" s="2">
        <f>_xlfn.MAXIFS(dataset!$B$2:$B$807,dataset!$C$2:$C$807,$A326)</f>
        <v/>
      </c>
      <c r="F326" s="3">
        <f>IFERROR(SUMPRODUCT((dataset!$C$2:$C$807=$A326)*dataset!$I$2:$I$807)/SUMPRODUCT((dataset!$C$2:$C$807=$A326)*(dataset!$I$2:$I$807&lt;&gt;"")),"")</f>
        <v/>
      </c>
      <c r="G326" s="3">
        <f>IFERROR(SUMPRODUCT((dataset!$C$2:$C$807=$A326)*dataset!$J$2:$J$807)/SUMPRODUCT((dataset!$C$2:$C$807=$A326)*(dataset!$J$2:$J$807&lt;&gt;"")),"")</f>
        <v/>
      </c>
    </row>
    <row r="327">
      <c r="A327" s="2" t="inlineStr">
        <is>
          <t>Lasse Becker</t>
        </is>
      </c>
      <c r="B327" s="2">
        <f>SUMPRODUCT(--(dataset!$C$2:$C$807=$A327))</f>
        <v/>
      </c>
      <c r="C327" s="3">
        <f>SUMPRODUCT((dataset!$C$2:$C$807=$A327)*dataset!$B$2:$B$807)/B327</f>
        <v/>
      </c>
      <c r="D327" s="2">
        <f>_xlfn.MINIFS(dataset!$B$2:$B$807,dataset!$C$2:$C$807,$A327)</f>
        <v/>
      </c>
      <c r="E327" s="2">
        <f>_xlfn.MAXIFS(dataset!$B$2:$B$807,dataset!$C$2:$C$807,$A327)</f>
        <v/>
      </c>
      <c r="F327" s="3">
        <f>IFERROR(SUMPRODUCT((dataset!$C$2:$C$807=$A327)*dataset!$I$2:$I$807)/SUMPRODUCT((dataset!$C$2:$C$807=$A327)*(dataset!$I$2:$I$807&lt;&gt;"")),"")</f>
        <v/>
      </c>
      <c r="G327" s="3">
        <f>IFERROR(SUMPRODUCT((dataset!$C$2:$C$807=$A327)*dataset!$J$2:$J$807)/SUMPRODUCT((dataset!$C$2:$C$807=$A327)*(dataset!$J$2:$J$807&lt;&gt;"")),"")</f>
        <v/>
      </c>
    </row>
    <row r="328">
      <c r="A328" s="2" t="inlineStr">
        <is>
          <t>Lastigs13</t>
        </is>
      </c>
      <c r="B328" s="2">
        <f>SUMPRODUCT(--(dataset!$C$2:$C$807=$A328))</f>
        <v/>
      </c>
      <c r="C328" s="3">
        <f>SUMPRODUCT((dataset!$C$2:$C$807=$A328)*dataset!$B$2:$B$807)/B328</f>
        <v/>
      </c>
      <c r="D328" s="2">
        <f>_xlfn.MINIFS(dataset!$B$2:$B$807,dataset!$C$2:$C$807,$A328)</f>
        <v/>
      </c>
      <c r="E328" s="2">
        <f>_xlfn.MAXIFS(dataset!$B$2:$B$807,dataset!$C$2:$C$807,$A328)</f>
        <v/>
      </c>
      <c r="F328" s="3">
        <f>IFERROR(SUMPRODUCT((dataset!$C$2:$C$807=$A328)*dataset!$I$2:$I$807)/SUMPRODUCT((dataset!$C$2:$C$807=$A328)*(dataset!$I$2:$I$807&lt;&gt;"")),"")</f>
        <v/>
      </c>
      <c r="G328" s="3">
        <f>IFERROR(SUMPRODUCT((dataset!$C$2:$C$807=$A328)*dataset!$J$2:$J$807)/SUMPRODUCT((dataset!$C$2:$C$807=$A328)*(dataset!$J$2:$J$807&lt;&gt;"")),"")</f>
        <v/>
      </c>
    </row>
    <row r="329">
      <c r="A329" s="2" t="inlineStr">
        <is>
          <t>Lauren Harmon</t>
        </is>
      </c>
      <c r="B329" s="2">
        <f>SUMPRODUCT(--(dataset!$C$2:$C$807=$A329))</f>
        <v/>
      </c>
      <c r="C329" s="3">
        <f>SUMPRODUCT((dataset!$C$2:$C$807=$A329)*dataset!$B$2:$B$807)/B329</f>
        <v/>
      </c>
      <c r="D329" s="2">
        <f>_xlfn.MINIFS(dataset!$B$2:$B$807,dataset!$C$2:$C$807,$A329)</f>
        <v/>
      </c>
      <c r="E329" s="2">
        <f>_xlfn.MAXIFS(dataset!$B$2:$B$807,dataset!$C$2:$C$807,$A329)</f>
        <v/>
      </c>
      <c r="F329" s="3">
        <f>IFERROR(SUMPRODUCT((dataset!$C$2:$C$807=$A329)*dataset!$I$2:$I$807)/SUMPRODUCT((dataset!$C$2:$C$807=$A329)*(dataset!$I$2:$I$807&lt;&gt;"")),"")</f>
        <v/>
      </c>
      <c r="G329" s="3">
        <f>IFERROR(SUMPRODUCT((dataset!$C$2:$C$807=$A329)*dataset!$J$2:$J$807)/SUMPRODUCT((dataset!$C$2:$C$807=$A329)*(dataset!$J$2:$J$807&lt;&gt;"")),"")</f>
        <v/>
      </c>
    </row>
    <row r="330">
      <c r="A330" s="2" t="inlineStr">
        <is>
          <t>Lawliet</t>
        </is>
      </c>
      <c r="B330" s="2">
        <f>SUMPRODUCT(--(dataset!$C$2:$C$807=$A330))</f>
        <v/>
      </c>
      <c r="C330" s="3">
        <f>SUMPRODUCT((dataset!$C$2:$C$807=$A330)*dataset!$B$2:$B$807)/B330</f>
        <v/>
      </c>
      <c r="D330" s="2">
        <f>_xlfn.MINIFS(dataset!$B$2:$B$807,dataset!$C$2:$C$807,$A330)</f>
        <v/>
      </c>
      <c r="E330" s="2">
        <f>_xlfn.MAXIFS(dataset!$B$2:$B$807,dataset!$C$2:$C$807,$A330)</f>
        <v/>
      </c>
      <c r="F330" s="3">
        <f>IFERROR(SUMPRODUCT((dataset!$C$2:$C$807=$A330)*dataset!$I$2:$I$807)/SUMPRODUCT((dataset!$C$2:$C$807=$A330)*(dataset!$I$2:$I$807&lt;&gt;"")),"")</f>
        <v/>
      </c>
      <c r="G330" s="3">
        <f>IFERROR(SUMPRODUCT((dataset!$C$2:$C$807=$A330)*dataset!$J$2:$J$807)/SUMPRODUCT((dataset!$C$2:$C$807=$A330)*(dataset!$J$2:$J$807&lt;&gt;"")),"")</f>
        <v/>
      </c>
    </row>
    <row r="331">
      <c r="A331" s="2" t="inlineStr">
        <is>
          <t>Leandro Goulart Bernardo</t>
        </is>
      </c>
      <c r="B331" s="2">
        <f>SUMPRODUCT(--(dataset!$C$2:$C$807=$A331))</f>
        <v/>
      </c>
      <c r="C331" s="3">
        <f>SUMPRODUCT((dataset!$C$2:$C$807=$A331)*dataset!$B$2:$B$807)/B331</f>
        <v/>
      </c>
      <c r="D331" s="2">
        <f>_xlfn.MINIFS(dataset!$B$2:$B$807,dataset!$C$2:$C$807,$A331)</f>
        <v/>
      </c>
      <c r="E331" s="2">
        <f>_xlfn.MAXIFS(dataset!$B$2:$B$807,dataset!$C$2:$C$807,$A331)</f>
        <v/>
      </c>
      <c r="F331" s="3">
        <f>IFERROR(SUMPRODUCT((dataset!$C$2:$C$807=$A331)*dataset!$I$2:$I$807)/SUMPRODUCT((dataset!$C$2:$C$807=$A331)*(dataset!$I$2:$I$807&lt;&gt;"")),"")</f>
        <v/>
      </c>
      <c r="G331" s="3">
        <f>IFERROR(SUMPRODUCT((dataset!$C$2:$C$807=$A331)*dataset!$J$2:$J$807)/SUMPRODUCT((dataset!$C$2:$C$807=$A331)*(dataset!$J$2:$J$807&lt;&gt;"")),"")</f>
        <v/>
      </c>
    </row>
    <row r="332">
      <c r="A332" s="2" t="inlineStr">
        <is>
          <t>Letícia Rezende</t>
        </is>
      </c>
      <c r="B332" s="2">
        <f>SUMPRODUCT(--(dataset!$C$2:$C$807=$A332))</f>
        <v/>
      </c>
      <c r="C332" s="3">
        <f>SUMPRODUCT((dataset!$C$2:$C$807=$A332)*dataset!$B$2:$B$807)/B332</f>
        <v/>
      </c>
      <c r="D332" s="2">
        <f>_xlfn.MINIFS(dataset!$B$2:$B$807,dataset!$C$2:$C$807,$A332)</f>
        <v/>
      </c>
      <c r="E332" s="2">
        <f>_xlfn.MAXIFS(dataset!$B$2:$B$807,dataset!$C$2:$C$807,$A332)</f>
        <v/>
      </c>
      <c r="F332" s="3">
        <f>IFERROR(SUMPRODUCT((dataset!$C$2:$C$807=$A332)*dataset!$I$2:$I$807)/SUMPRODUCT((dataset!$C$2:$C$807=$A332)*(dataset!$I$2:$I$807&lt;&gt;"")),"")</f>
        <v/>
      </c>
      <c r="G332" s="3">
        <f>IFERROR(SUMPRODUCT((dataset!$C$2:$C$807=$A332)*dataset!$J$2:$J$807)/SUMPRODUCT((dataset!$C$2:$C$807=$A332)*(dataset!$J$2:$J$807&lt;&gt;"")),"")</f>
        <v/>
      </c>
    </row>
    <row r="333">
      <c r="A333" s="2" t="inlineStr">
        <is>
          <t>Lili Boulanger</t>
        </is>
      </c>
      <c r="B333" s="2">
        <f>SUMPRODUCT(--(dataset!$C$2:$C$807=$A333))</f>
        <v/>
      </c>
      <c r="C333" s="3">
        <f>SUMPRODUCT((dataset!$C$2:$C$807=$A333)*dataset!$B$2:$B$807)/B333</f>
        <v/>
      </c>
      <c r="D333" s="2">
        <f>_xlfn.MINIFS(dataset!$B$2:$B$807,dataset!$C$2:$C$807,$A333)</f>
        <v/>
      </c>
      <c r="E333" s="2">
        <f>_xlfn.MAXIFS(dataset!$B$2:$B$807,dataset!$C$2:$C$807,$A333)</f>
        <v/>
      </c>
      <c r="F333" s="3">
        <f>IFERROR(SUMPRODUCT((dataset!$C$2:$C$807=$A333)*dataset!$I$2:$I$807)/SUMPRODUCT((dataset!$C$2:$C$807=$A333)*(dataset!$I$2:$I$807&lt;&gt;"")),"")</f>
        <v/>
      </c>
      <c r="G333" s="3">
        <f>IFERROR(SUMPRODUCT((dataset!$C$2:$C$807=$A333)*dataset!$J$2:$J$807)/SUMPRODUCT((dataset!$C$2:$C$807=$A333)*(dataset!$J$2:$J$807&lt;&gt;"")),"")</f>
        <v/>
      </c>
    </row>
    <row r="334">
      <c r="A334" s="2" t="inlineStr">
        <is>
          <t>Lionel Belasco</t>
        </is>
      </c>
      <c r="B334" s="2">
        <f>SUMPRODUCT(--(dataset!$C$2:$C$807=$A334))</f>
        <v/>
      </c>
      <c r="C334" s="3">
        <f>SUMPRODUCT((dataset!$C$2:$C$807=$A334)*dataset!$B$2:$B$807)/B334</f>
        <v/>
      </c>
      <c r="D334" s="2">
        <f>_xlfn.MINIFS(dataset!$B$2:$B$807,dataset!$C$2:$C$807,$A334)</f>
        <v/>
      </c>
      <c r="E334" s="2">
        <f>_xlfn.MAXIFS(dataset!$B$2:$B$807,dataset!$C$2:$C$807,$A334)</f>
        <v/>
      </c>
      <c r="F334" s="3">
        <f>IFERROR(SUMPRODUCT((dataset!$C$2:$C$807=$A334)*dataset!$I$2:$I$807)/SUMPRODUCT((dataset!$C$2:$C$807=$A334)*(dataset!$I$2:$I$807&lt;&gt;"")),"")</f>
        <v/>
      </c>
      <c r="G334" s="3">
        <f>IFERROR(SUMPRODUCT((dataset!$C$2:$C$807=$A334)*dataset!$J$2:$J$807)/SUMPRODUCT((dataset!$C$2:$C$807=$A334)*(dataset!$J$2:$J$807&lt;&gt;"")),"")</f>
        <v/>
      </c>
    </row>
    <row r="335">
      <c r="A335" s="2" t="inlineStr">
        <is>
          <t>Little Music Girl</t>
        </is>
      </c>
      <c r="B335" s="2">
        <f>SUMPRODUCT(--(dataset!$C$2:$C$807=$A335))</f>
        <v/>
      </c>
      <c r="C335" s="3">
        <f>SUMPRODUCT((dataset!$C$2:$C$807=$A335)*dataset!$B$2:$B$807)/B335</f>
        <v/>
      </c>
      <c r="D335" s="2">
        <f>_xlfn.MINIFS(dataset!$B$2:$B$807,dataset!$C$2:$C$807,$A335)</f>
        <v/>
      </c>
      <c r="E335" s="2">
        <f>_xlfn.MAXIFS(dataset!$B$2:$B$807,dataset!$C$2:$C$807,$A335)</f>
        <v/>
      </c>
      <c r="F335" s="3">
        <f>IFERROR(SUMPRODUCT((dataset!$C$2:$C$807=$A335)*dataset!$I$2:$I$807)/SUMPRODUCT((dataset!$C$2:$C$807=$A335)*(dataset!$I$2:$I$807&lt;&gt;"")),"")</f>
        <v/>
      </c>
      <c r="G335" s="3">
        <f>IFERROR(SUMPRODUCT((dataset!$C$2:$C$807=$A335)*dataset!$J$2:$J$807)/SUMPRODUCT((dataset!$C$2:$C$807=$A335)*(dataset!$J$2:$J$807&lt;&gt;"")),"")</f>
        <v/>
      </c>
    </row>
    <row r="336">
      <c r="A336" s="2" t="inlineStr">
        <is>
          <t>Louis Moreau Gottschalk</t>
        </is>
      </c>
      <c r="B336" s="2">
        <f>SUMPRODUCT(--(dataset!$C$2:$C$807=$A336))</f>
        <v/>
      </c>
      <c r="C336" s="3">
        <f>SUMPRODUCT((dataset!$C$2:$C$807=$A336)*dataset!$B$2:$B$807)/B336</f>
        <v/>
      </c>
      <c r="D336" s="2">
        <f>_xlfn.MINIFS(dataset!$B$2:$B$807,dataset!$C$2:$C$807,$A336)</f>
        <v/>
      </c>
      <c r="E336" s="2">
        <f>_xlfn.MAXIFS(dataset!$B$2:$B$807,dataset!$C$2:$C$807,$A336)</f>
        <v/>
      </c>
      <c r="F336" s="3">
        <f>IFERROR(SUMPRODUCT((dataset!$C$2:$C$807=$A336)*dataset!$I$2:$I$807)/SUMPRODUCT((dataset!$C$2:$C$807=$A336)*(dataset!$I$2:$I$807&lt;&gt;"")),"")</f>
        <v/>
      </c>
      <c r="G336" s="3">
        <f>IFERROR(SUMPRODUCT((dataset!$C$2:$C$807=$A336)*dataset!$J$2:$J$807)/SUMPRODUCT((dataset!$C$2:$C$807=$A336)*(dataset!$J$2:$J$807&lt;&gt;"")),"")</f>
        <v/>
      </c>
    </row>
    <row r="337">
      <c r="A337" s="2" t="inlineStr">
        <is>
          <t>Lucas Rodriguez &amp; Tyler Brundage</t>
        </is>
      </c>
      <c r="B337" s="2">
        <f>SUMPRODUCT(--(dataset!$C$2:$C$807=$A337))</f>
        <v/>
      </c>
      <c r="C337" s="3">
        <f>SUMPRODUCT((dataset!$C$2:$C$807=$A337)*dataset!$B$2:$B$807)/B337</f>
        <v/>
      </c>
      <c r="D337" s="2">
        <f>_xlfn.MINIFS(dataset!$B$2:$B$807,dataset!$C$2:$C$807,$A337)</f>
        <v/>
      </c>
      <c r="E337" s="2">
        <f>_xlfn.MAXIFS(dataset!$B$2:$B$807,dataset!$C$2:$C$807,$A337)</f>
        <v/>
      </c>
      <c r="F337" s="3">
        <f>IFERROR(SUMPRODUCT((dataset!$C$2:$C$807=$A337)*dataset!$I$2:$I$807)/SUMPRODUCT((dataset!$C$2:$C$807=$A337)*(dataset!$I$2:$I$807&lt;&gt;"")),"")</f>
        <v/>
      </c>
      <c r="G337" s="3">
        <f>IFERROR(SUMPRODUCT((dataset!$C$2:$C$807=$A337)*dataset!$J$2:$J$807)/SUMPRODUCT((dataset!$C$2:$C$807=$A337)*(dataset!$J$2:$J$807&lt;&gt;"")),"")</f>
        <v/>
      </c>
    </row>
    <row r="338">
      <c r="A338" s="2" t="inlineStr">
        <is>
          <t>Luigi Rubino</t>
        </is>
      </c>
      <c r="B338" s="2">
        <f>SUMPRODUCT(--(dataset!$C$2:$C$807=$A338))</f>
        <v/>
      </c>
      <c r="C338" s="3">
        <f>SUMPRODUCT((dataset!$C$2:$C$807=$A338)*dataset!$B$2:$B$807)/B338</f>
        <v/>
      </c>
      <c r="D338" s="2">
        <f>_xlfn.MINIFS(dataset!$B$2:$B$807,dataset!$C$2:$C$807,$A338)</f>
        <v/>
      </c>
      <c r="E338" s="2">
        <f>_xlfn.MAXIFS(dataset!$B$2:$B$807,dataset!$C$2:$C$807,$A338)</f>
        <v/>
      </c>
      <c r="F338" s="3">
        <f>IFERROR(SUMPRODUCT((dataset!$C$2:$C$807=$A338)*dataset!$I$2:$I$807)/SUMPRODUCT((dataset!$C$2:$C$807=$A338)*(dataset!$I$2:$I$807&lt;&gt;"")),"")</f>
        <v/>
      </c>
      <c r="G338" s="3">
        <f>IFERROR(SUMPRODUCT((dataset!$C$2:$C$807=$A338)*dataset!$J$2:$J$807)/SUMPRODUCT((dataset!$C$2:$C$807=$A338)*(dataset!$J$2:$J$807&lt;&gt;"")),"")</f>
        <v/>
      </c>
    </row>
    <row r="339">
      <c r="A339" s="2" t="inlineStr">
        <is>
          <t>Luis Fonsi</t>
        </is>
      </c>
      <c r="B339" s="2">
        <f>SUMPRODUCT(--(dataset!$C$2:$C$807=$A339))</f>
        <v/>
      </c>
      <c r="C339" s="3">
        <f>SUMPRODUCT((dataset!$C$2:$C$807=$A339)*dataset!$B$2:$B$807)/B339</f>
        <v/>
      </c>
      <c r="D339" s="2">
        <f>_xlfn.MINIFS(dataset!$B$2:$B$807,dataset!$C$2:$C$807,$A339)</f>
        <v/>
      </c>
      <c r="E339" s="2">
        <f>_xlfn.MAXIFS(dataset!$B$2:$B$807,dataset!$C$2:$C$807,$A339)</f>
        <v/>
      </c>
      <c r="F339" s="3">
        <f>IFERROR(SUMPRODUCT((dataset!$C$2:$C$807=$A339)*dataset!$I$2:$I$807)/SUMPRODUCT((dataset!$C$2:$C$807=$A339)*(dataset!$I$2:$I$807&lt;&gt;"")),"")</f>
        <v/>
      </c>
      <c r="G339" s="3">
        <f>IFERROR(SUMPRODUCT((dataset!$C$2:$C$807=$A339)*dataset!$J$2:$J$807)/SUMPRODUCT((dataset!$C$2:$C$807=$A339)*(dataset!$J$2:$J$807&lt;&gt;"")),"")</f>
        <v/>
      </c>
    </row>
    <row r="340">
      <c r="A340" s="2" t="inlineStr">
        <is>
          <t>Lukas Jackson</t>
        </is>
      </c>
      <c r="B340" s="2">
        <f>SUMPRODUCT(--(dataset!$C$2:$C$807=$A340))</f>
        <v/>
      </c>
      <c r="C340" s="3">
        <f>SUMPRODUCT((dataset!$C$2:$C$807=$A340)*dataset!$B$2:$B$807)/B340</f>
        <v/>
      </c>
      <c r="D340" s="2">
        <f>_xlfn.MINIFS(dataset!$B$2:$B$807,dataset!$C$2:$C$807,$A340)</f>
        <v/>
      </c>
      <c r="E340" s="2">
        <f>_xlfn.MAXIFS(dataset!$B$2:$B$807,dataset!$C$2:$C$807,$A340)</f>
        <v/>
      </c>
      <c r="F340" s="3">
        <f>IFERROR(SUMPRODUCT((dataset!$C$2:$C$807=$A340)*dataset!$I$2:$I$807)/SUMPRODUCT((dataset!$C$2:$C$807=$A340)*(dataset!$I$2:$I$807&lt;&gt;"")),"")</f>
        <v/>
      </c>
      <c r="G340" s="3">
        <f>IFERROR(SUMPRODUCT((dataset!$C$2:$C$807=$A340)*dataset!$J$2:$J$807)/SUMPRODUCT((dataset!$C$2:$C$807=$A340)*(dataset!$J$2:$J$807&lt;&gt;"")),"")</f>
        <v/>
      </c>
    </row>
    <row r="341">
      <c r="A341" s="2" t="inlineStr">
        <is>
          <t>Luuk van Zon</t>
        </is>
      </c>
      <c r="B341" s="2">
        <f>SUMPRODUCT(--(dataset!$C$2:$C$807=$A341))</f>
        <v/>
      </c>
      <c r="C341" s="3">
        <f>SUMPRODUCT((dataset!$C$2:$C$807=$A341)*dataset!$B$2:$B$807)/B341</f>
        <v/>
      </c>
      <c r="D341" s="2">
        <f>_xlfn.MINIFS(dataset!$B$2:$B$807,dataset!$C$2:$C$807,$A341)</f>
        <v/>
      </c>
      <c r="E341" s="2">
        <f>_xlfn.MAXIFS(dataset!$B$2:$B$807,dataset!$C$2:$C$807,$A341)</f>
        <v/>
      </c>
      <c r="F341" s="3">
        <f>IFERROR(SUMPRODUCT((dataset!$C$2:$C$807=$A341)*dataset!$I$2:$I$807)/SUMPRODUCT((dataset!$C$2:$C$807=$A341)*(dataset!$I$2:$I$807&lt;&gt;"")),"")</f>
        <v/>
      </c>
      <c r="G341" s="3">
        <f>IFERROR(SUMPRODUCT((dataset!$C$2:$C$807=$A341)*dataset!$J$2:$J$807)/SUMPRODUCT((dataset!$C$2:$C$807=$A341)*(dataset!$J$2:$J$807&lt;&gt;"")),"")</f>
        <v/>
      </c>
    </row>
    <row r="342">
      <c r="A342" s="2" t="inlineStr">
        <is>
          <t>Mae Davis</t>
        </is>
      </c>
      <c r="B342" s="2">
        <f>SUMPRODUCT(--(dataset!$C$2:$C$807=$A342))</f>
        <v/>
      </c>
      <c r="C342" s="3">
        <f>SUMPRODUCT((dataset!$C$2:$C$807=$A342)*dataset!$B$2:$B$807)/B342</f>
        <v/>
      </c>
      <c r="D342" s="2">
        <f>_xlfn.MINIFS(dataset!$B$2:$B$807,dataset!$C$2:$C$807,$A342)</f>
        <v/>
      </c>
      <c r="E342" s="2">
        <f>_xlfn.MAXIFS(dataset!$B$2:$B$807,dataset!$C$2:$C$807,$A342)</f>
        <v/>
      </c>
      <c r="F342" s="3">
        <f>IFERROR(SUMPRODUCT((dataset!$C$2:$C$807=$A342)*dataset!$I$2:$I$807)/SUMPRODUCT((dataset!$C$2:$C$807=$A342)*(dataset!$I$2:$I$807&lt;&gt;"")),"")</f>
        <v/>
      </c>
      <c r="G342" s="3">
        <f>IFERROR(SUMPRODUCT((dataset!$C$2:$C$807=$A342)*dataset!$J$2:$J$807)/SUMPRODUCT((dataset!$C$2:$C$807=$A342)*(dataset!$J$2:$J$807&lt;&gt;"")),"")</f>
        <v/>
      </c>
    </row>
    <row r="343">
      <c r="A343" s="2" t="inlineStr">
        <is>
          <t>Magnus Pålsson</t>
        </is>
      </c>
      <c r="B343" s="2">
        <f>SUMPRODUCT(--(dataset!$C$2:$C$807=$A343))</f>
        <v/>
      </c>
      <c r="C343" s="3">
        <f>SUMPRODUCT((dataset!$C$2:$C$807=$A343)*dataset!$B$2:$B$807)/B343</f>
        <v/>
      </c>
      <c r="D343" s="2">
        <f>_xlfn.MINIFS(dataset!$B$2:$B$807,dataset!$C$2:$C$807,$A343)</f>
        <v/>
      </c>
      <c r="E343" s="2">
        <f>_xlfn.MAXIFS(dataset!$B$2:$B$807,dataset!$C$2:$C$807,$A343)</f>
        <v/>
      </c>
      <c r="F343" s="3">
        <f>IFERROR(SUMPRODUCT((dataset!$C$2:$C$807=$A343)*dataset!$I$2:$I$807)/SUMPRODUCT((dataset!$C$2:$C$807=$A343)*(dataset!$I$2:$I$807&lt;&gt;"")),"")</f>
        <v/>
      </c>
      <c r="G343" s="3">
        <f>IFERROR(SUMPRODUCT((dataset!$C$2:$C$807=$A343)*dataset!$J$2:$J$807)/SUMPRODUCT((dataset!$C$2:$C$807=$A343)*(dataset!$J$2:$J$807&lt;&gt;"")),"")</f>
        <v/>
      </c>
    </row>
    <row r="344">
      <c r="A344" s="2" t="inlineStr">
        <is>
          <t>Maksym Giza</t>
        </is>
      </c>
      <c r="B344" s="2">
        <f>SUMPRODUCT(--(dataset!$C$2:$C$807=$A344))</f>
        <v/>
      </c>
      <c r="C344" s="3">
        <f>SUMPRODUCT((dataset!$C$2:$C$807=$A344)*dataset!$B$2:$B$807)/B344</f>
        <v/>
      </c>
      <c r="D344" s="2">
        <f>_xlfn.MINIFS(dataset!$B$2:$B$807,dataset!$C$2:$C$807,$A344)</f>
        <v/>
      </c>
      <c r="E344" s="2">
        <f>_xlfn.MAXIFS(dataset!$B$2:$B$807,dataset!$C$2:$C$807,$A344)</f>
        <v/>
      </c>
      <c r="F344" s="3">
        <f>IFERROR(SUMPRODUCT((dataset!$C$2:$C$807=$A344)*dataset!$I$2:$I$807)/SUMPRODUCT((dataset!$C$2:$C$807=$A344)*(dataset!$I$2:$I$807&lt;&gt;"")),"")</f>
        <v/>
      </c>
      <c r="G344" s="3">
        <f>IFERROR(SUMPRODUCT((dataset!$C$2:$C$807=$A344)*dataset!$J$2:$J$807)/SUMPRODUCT((dataset!$C$2:$C$807=$A344)*(dataset!$J$2:$J$807&lt;&gt;"")),"")</f>
        <v/>
      </c>
    </row>
    <row r="345">
      <c r="A345" s="2" t="inlineStr">
        <is>
          <t>Mamie E. Williams</t>
        </is>
      </c>
      <c r="B345" s="2">
        <f>SUMPRODUCT(--(dataset!$C$2:$C$807=$A345))</f>
        <v/>
      </c>
      <c r="C345" s="3">
        <f>SUMPRODUCT((dataset!$C$2:$C$807=$A345)*dataset!$B$2:$B$807)/B345</f>
        <v/>
      </c>
      <c r="D345" s="2">
        <f>_xlfn.MINIFS(dataset!$B$2:$B$807,dataset!$C$2:$C$807,$A345)</f>
        <v/>
      </c>
      <c r="E345" s="2">
        <f>_xlfn.MAXIFS(dataset!$B$2:$B$807,dataset!$C$2:$C$807,$A345)</f>
        <v/>
      </c>
      <c r="F345" s="3">
        <f>IFERROR(SUMPRODUCT((dataset!$C$2:$C$807=$A345)*dataset!$I$2:$I$807)/SUMPRODUCT((dataset!$C$2:$C$807=$A345)*(dataset!$I$2:$I$807&lt;&gt;"")),"")</f>
        <v/>
      </c>
      <c r="G345" s="3">
        <f>IFERROR(SUMPRODUCT((dataset!$C$2:$C$807=$A345)*dataset!$J$2:$J$807)/SUMPRODUCT((dataset!$C$2:$C$807=$A345)*(dataset!$J$2:$J$807&lt;&gt;"")),"")</f>
        <v/>
      </c>
    </row>
    <row r="346">
      <c r="A346" s="2" t="inlineStr">
        <is>
          <t>Marc Sabatella</t>
        </is>
      </c>
      <c r="B346" s="2">
        <f>SUMPRODUCT(--(dataset!$C$2:$C$807=$A346))</f>
        <v/>
      </c>
      <c r="C346" s="3">
        <f>SUMPRODUCT((dataset!$C$2:$C$807=$A346)*dataset!$B$2:$B$807)/B346</f>
        <v/>
      </c>
      <c r="D346" s="2">
        <f>_xlfn.MINIFS(dataset!$B$2:$B$807,dataset!$C$2:$C$807,$A346)</f>
        <v/>
      </c>
      <c r="E346" s="2">
        <f>_xlfn.MAXIFS(dataset!$B$2:$B$807,dataset!$C$2:$C$807,$A346)</f>
        <v/>
      </c>
      <c r="F346" s="3">
        <f>IFERROR(SUMPRODUCT((dataset!$C$2:$C$807=$A346)*dataset!$I$2:$I$807)/SUMPRODUCT((dataset!$C$2:$C$807=$A346)*(dataset!$I$2:$I$807&lt;&gt;"")),"")</f>
        <v/>
      </c>
      <c r="G346" s="3">
        <f>IFERROR(SUMPRODUCT((dataset!$C$2:$C$807=$A346)*dataset!$J$2:$J$807)/SUMPRODUCT((dataset!$C$2:$C$807=$A346)*(dataset!$J$2:$J$807&lt;&gt;"")),"")</f>
        <v/>
      </c>
    </row>
    <row r="347">
      <c r="A347" s="2" t="inlineStr">
        <is>
          <t>Markus Salzer</t>
        </is>
      </c>
      <c r="B347" s="2">
        <f>SUMPRODUCT(--(dataset!$C$2:$C$807=$A347))</f>
        <v/>
      </c>
      <c r="C347" s="3">
        <f>SUMPRODUCT((dataset!$C$2:$C$807=$A347)*dataset!$B$2:$B$807)/B347</f>
        <v/>
      </c>
      <c r="D347" s="2">
        <f>_xlfn.MINIFS(dataset!$B$2:$B$807,dataset!$C$2:$C$807,$A347)</f>
        <v/>
      </c>
      <c r="E347" s="2">
        <f>_xlfn.MAXIFS(dataset!$B$2:$B$807,dataset!$C$2:$C$807,$A347)</f>
        <v/>
      </c>
      <c r="F347" s="3">
        <f>IFERROR(SUMPRODUCT((dataset!$C$2:$C$807=$A347)*dataset!$I$2:$I$807)/SUMPRODUCT((dataset!$C$2:$C$807=$A347)*(dataset!$I$2:$I$807&lt;&gt;"")),"")</f>
        <v/>
      </c>
      <c r="G347" s="3">
        <f>IFERROR(SUMPRODUCT((dataset!$C$2:$C$807=$A347)*dataset!$J$2:$J$807)/SUMPRODUCT((dataset!$C$2:$C$807=$A347)*(dataset!$J$2:$J$807&lt;&gt;"")),"")</f>
        <v/>
      </c>
    </row>
    <row r="348">
      <c r="A348" s="2" t="inlineStr">
        <is>
          <t>Marshall M. Bartholomew</t>
        </is>
      </c>
      <c r="B348" s="2">
        <f>SUMPRODUCT(--(dataset!$C$2:$C$807=$A348))</f>
        <v/>
      </c>
      <c r="C348" s="3">
        <f>SUMPRODUCT((dataset!$C$2:$C$807=$A348)*dataset!$B$2:$B$807)/B348</f>
        <v/>
      </c>
      <c r="D348" s="2">
        <f>_xlfn.MINIFS(dataset!$B$2:$B$807,dataset!$C$2:$C$807,$A348)</f>
        <v/>
      </c>
      <c r="E348" s="2">
        <f>_xlfn.MAXIFS(dataset!$B$2:$B$807,dataset!$C$2:$C$807,$A348)</f>
        <v/>
      </c>
      <c r="F348" s="3">
        <f>IFERROR(SUMPRODUCT((dataset!$C$2:$C$807=$A348)*dataset!$I$2:$I$807)/SUMPRODUCT((dataset!$C$2:$C$807=$A348)*(dataset!$I$2:$I$807&lt;&gt;"")),"")</f>
        <v/>
      </c>
      <c r="G348" s="3">
        <f>IFERROR(SUMPRODUCT((dataset!$C$2:$C$807=$A348)*dataset!$J$2:$J$807)/SUMPRODUCT((dataset!$C$2:$C$807=$A348)*(dataset!$J$2:$J$807&lt;&gt;"")),"")</f>
        <v/>
      </c>
    </row>
    <row r="349">
      <c r="A349" s="2" t="inlineStr">
        <is>
          <t>Marshmello</t>
        </is>
      </c>
      <c r="B349" s="2">
        <f>SUMPRODUCT(--(dataset!$C$2:$C$807=$A349))</f>
        <v/>
      </c>
      <c r="C349" s="3">
        <f>SUMPRODUCT((dataset!$C$2:$C$807=$A349)*dataset!$B$2:$B$807)/B349</f>
        <v/>
      </c>
      <c r="D349" s="2">
        <f>_xlfn.MINIFS(dataset!$B$2:$B$807,dataset!$C$2:$C$807,$A349)</f>
        <v/>
      </c>
      <c r="E349" s="2">
        <f>_xlfn.MAXIFS(dataset!$B$2:$B$807,dataset!$C$2:$C$807,$A349)</f>
        <v/>
      </c>
      <c r="F349" s="3">
        <f>IFERROR(SUMPRODUCT((dataset!$C$2:$C$807=$A349)*dataset!$I$2:$I$807)/SUMPRODUCT((dataset!$C$2:$C$807=$A349)*(dataset!$I$2:$I$807&lt;&gt;"")),"")</f>
        <v/>
      </c>
      <c r="G349" s="3">
        <f>IFERROR(SUMPRODUCT((dataset!$C$2:$C$807=$A349)*dataset!$J$2:$J$807)/SUMPRODUCT((dataset!$C$2:$C$807=$A349)*(dataset!$J$2:$J$807&lt;&gt;"")),"")</f>
        <v/>
      </c>
    </row>
    <row r="350">
      <c r="A350" s="2" t="inlineStr">
        <is>
          <t>Marti Yoder</t>
        </is>
      </c>
      <c r="B350" s="2">
        <f>SUMPRODUCT(--(dataset!$C$2:$C$807=$A350))</f>
        <v/>
      </c>
      <c r="C350" s="3">
        <f>SUMPRODUCT((dataset!$C$2:$C$807=$A350)*dataset!$B$2:$B$807)/B350</f>
        <v/>
      </c>
      <c r="D350" s="2">
        <f>_xlfn.MINIFS(dataset!$B$2:$B$807,dataset!$C$2:$C$807,$A350)</f>
        <v/>
      </c>
      <c r="E350" s="2">
        <f>_xlfn.MAXIFS(dataset!$B$2:$B$807,dataset!$C$2:$C$807,$A350)</f>
        <v/>
      </c>
      <c r="F350" s="3">
        <f>IFERROR(SUMPRODUCT((dataset!$C$2:$C$807=$A350)*dataset!$I$2:$I$807)/SUMPRODUCT((dataset!$C$2:$C$807=$A350)*(dataset!$I$2:$I$807&lt;&gt;"")),"")</f>
        <v/>
      </c>
      <c r="G350" s="3">
        <f>IFERROR(SUMPRODUCT((dataset!$C$2:$C$807=$A350)*dataset!$J$2:$J$807)/SUMPRODUCT((dataset!$C$2:$C$807=$A350)*(dataset!$J$2:$J$807&lt;&gt;"")),"")</f>
        <v/>
      </c>
    </row>
    <row r="351">
      <c r="A351" s="2" t="inlineStr">
        <is>
          <t>Martin Mosch</t>
        </is>
      </c>
      <c r="B351" s="2">
        <f>SUMPRODUCT(--(dataset!$C$2:$C$807=$A351))</f>
        <v/>
      </c>
      <c r="C351" s="3">
        <f>SUMPRODUCT((dataset!$C$2:$C$807=$A351)*dataset!$B$2:$B$807)/B351</f>
        <v/>
      </c>
      <c r="D351" s="2">
        <f>_xlfn.MINIFS(dataset!$B$2:$B$807,dataset!$C$2:$C$807,$A351)</f>
        <v/>
      </c>
      <c r="E351" s="2">
        <f>_xlfn.MAXIFS(dataset!$B$2:$B$807,dataset!$C$2:$C$807,$A351)</f>
        <v/>
      </c>
      <c r="F351" s="3">
        <f>IFERROR(SUMPRODUCT((dataset!$C$2:$C$807=$A351)*dataset!$I$2:$I$807)/SUMPRODUCT((dataset!$C$2:$C$807=$A351)*(dataset!$I$2:$I$807&lt;&gt;"")),"")</f>
        <v/>
      </c>
      <c r="G351" s="3">
        <f>IFERROR(SUMPRODUCT((dataset!$C$2:$C$807=$A351)*dataset!$J$2:$J$807)/SUMPRODUCT((dataset!$C$2:$C$807=$A351)*(dataset!$J$2:$J$807&lt;&gt;"")),"")</f>
        <v/>
      </c>
    </row>
    <row r="352">
      <c r="A352" s="2" t="inlineStr">
        <is>
          <t>Masato Koike</t>
        </is>
      </c>
      <c r="B352" s="2">
        <f>SUMPRODUCT(--(dataset!$C$2:$C$807=$A352))</f>
        <v/>
      </c>
      <c r="C352" s="3">
        <f>SUMPRODUCT((dataset!$C$2:$C$807=$A352)*dataset!$B$2:$B$807)/B352</f>
        <v/>
      </c>
      <c r="D352" s="2">
        <f>_xlfn.MINIFS(dataset!$B$2:$B$807,dataset!$C$2:$C$807,$A352)</f>
        <v/>
      </c>
      <c r="E352" s="2">
        <f>_xlfn.MAXIFS(dataset!$B$2:$B$807,dataset!$C$2:$C$807,$A352)</f>
        <v/>
      </c>
      <c r="F352" s="3">
        <f>IFERROR(SUMPRODUCT((dataset!$C$2:$C$807=$A352)*dataset!$I$2:$I$807)/SUMPRODUCT((dataset!$C$2:$C$807=$A352)*(dataset!$I$2:$I$807&lt;&gt;"")),"")</f>
        <v/>
      </c>
      <c r="G352" s="3">
        <f>IFERROR(SUMPRODUCT((dataset!$C$2:$C$807=$A352)*dataset!$J$2:$J$807)/SUMPRODUCT((dataset!$C$2:$C$807=$A352)*(dataset!$J$2:$J$807&lt;&gt;"")),"")</f>
        <v/>
      </c>
    </row>
    <row r="353">
      <c r="A353" s="2" t="inlineStr">
        <is>
          <t>Matthew Bellamy</t>
        </is>
      </c>
      <c r="B353" s="2">
        <f>SUMPRODUCT(--(dataset!$C$2:$C$807=$A353))</f>
        <v/>
      </c>
      <c r="C353" s="3">
        <f>SUMPRODUCT((dataset!$C$2:$C$807=$A353)*dataset!$B$2:$B$807)/B353</f>
        <v/>
      </c>
      <c r="D353" s="2">
        <f>_xlfn.MINIFS(dataset!$B$2:$B$807,dataset!$C$2:$C$807,$A353)</f>
        <v/>
      </c>
      <c r="E353" s="2">
        <f>_xlfn.MAXIFS(dataset!$B$2:$B$807,dataset!$C$2:$C$807,$A353)</f>
        <v/>
      </c>
      <c r="F353" s="3">
        <f>IFERROR(SUMPRODUCT((dataset!$C$2:$C$807=$A353)*dataset!$I$2:$I$807)/SUMPRODUCT((dataset!$C$2:$C$807=$A353)*(dataset!$I$2:$I$807&lt;&gt;"")),"")</f>
        <v/>
      </c>
      <c r="G353" s="3">
        <f>IFERROR(SUMPRODUCT((dataset!$C$2:$C$807=$A353)*dataset!$J$2:$J$807)/SUMPRODUCT((dataset!$C$2:$C$807=$A353)*(dataset!$J$2:$J$807&lt;&gt;"")),"")</f>
        <v/>
      </c>
    </row>
    <row r="354">
      <c r="A354" s="2" t="inlineStr">
        <is>
          <t>Maurice J. Steinberg</t>
        </is>
      </c>
      <c r="B354" s="2">
        <f>SUMPRODUCT(--(dataset!$C$2:$C$807=$A354))</f>
        <v/>
      </c>
      <c r="C354" s="3">
        <f>SUMPRODUCT((dataset!$C$2:$C$807=$A354)*dataset!$B$2:$B$807)/B354</f>
        <v/>
      </c>
      <c r="D354" s="2">
        <f>_xlfn.MINIFS(dataset!$B$2:$B$807,dataset!$C$2:$C$807,$A354)</f>
        <v/>
      </c>
      <c r="E354" s="2">
        <f>_xlfn.MAXIFS(dataset!$B$2:$B$807,dataset!$C$2:$C$807,$A354)</f>
        <v/>
      </c>
      <c r="F354" s="3">
        <f>IFERROR(SUMPRODUCT((dataset!$C$2:$C$807=$A354)*dataset!$I$2:$I$807)/SUMPRODUCT((dataset!$C$2:$C$807=$A354)*(dataset!$I$2:$I$807&lt;&gt;"")),"")</f>
        <v/>
      </c>
      <c r="G354" s="3">
        <f>IFERROR(SUMPRODUCT((dataset!$C$2:$C$807=$A354)*dataset!$J$2:$J$807)/SUMPRODUCT((dataset!$C$2:$C$807=$A354)*(dataset!$J$2:$J$807&lt;&gt;"")),"")</f>
        <v/>
      </c>
    </row>
    <row r="355">
      <c r="A355" s="2" t="inlineStr">
        <is>
          <t>Max Hoffmann</t>
        </is>
      </c>
      <c r="B355" s="2">
        <f>SUMPRODUCT(--(dataset!$C$2:$C$807=$A355))</f>
        <v/>
      </c>
      <c r="C355" s="3">
        <f>SUMPRODUCT((dataset!$C$2:$C$807=$A355)*dataset!$B$2:$B$807)/B355</f>
        <v/>
      </c>
      <c r="D355" s="2">
        <f>_xlfn.MINIFS(dataset!$B$2:$B$807,dataset!$C$2:$C$807,$A355)</f>
        <v/>
      </c>
      <c r="E355" s="2">
        <f>_xlfn.MAXIFS(dataset!$B$2:$B$807,dataset!$C$2:$C$807,$A355)</f>
        <v/>
      </c>
      <c r="F355" s="3">
        <f>IFERROR(SUMPRODUCT((dataset!$C$2:$C$807=$A355)*dataset!$I$2:$I$807)/SUMPRODUCT((dataset!$C$2:$C$807=$A355)*(dataset!$I$2:$I$807&lt;&gt;"")),"")</f>
        <v/>
      </c>
      <c r="G355" s="3">
        <f>IFERROR(SUMPRODUCT((dataset!$C$2:$C$807=$A355)*dataset!$J$2:$J$807)/SUMPRODUCT((dataset!$C$2:$C$807=$A355)*(dataset!$J$2:$J$807&lt;&gt;"")),"")</f>
        <v/>
      </c>
    </row>
    <row r="356">
      <c r="A356" s="2" t="inlineStr">
        <is>
          <t>Max Kortlander</t>
        </is>
      </c>
      <c r="B356" s="2">
        <f>SUMPRODUCT(--(dataset!$C$2:$C$807=$A356))</f>
        <v/>
      </c>
      <c r="C356" s="3">
        <f>SUMPRODUCT((dataset!$C$2:$C$807=$A356)*dataset!$B$2:$B$807)/B356</f>
        <v/>
      </c>
      <c r="D356" s="2">
        <f>_xlfn.MINIFS(dataset!$B$2:$B$807,dataset!$C$2:$C$807,$A356)</f>
        <v/>
      </c>
      <c r="E356" s="2">
        <f>_xlfn.MAXIFS(dataset!$B$2:$B$807,dataset!$C$2:$C$807,$A356)</f>
        <v/>
      </c>
      <c r="F356" s="3">
        <f>IFERROR(SUMPRODUCT((dataset!$C$2:$C$807=$A356)*dataset!$I$2:$I$807)/SUMPRODUCT((dataset!$C$2:$C$807=$A356)*(dataset!$I$2:$I$807&lt;&gt;"")),"")</f>
        <v/>
      </c>
      <c r="G356" s="3">
        <f>IFERROR(SUMPRODUCT((dataset!$C$2:$C$807=$A356)*dataset!$J$2:$J$807)/SUMPRODUCT((dataset!$C$2:$C$807=$A356)*(dataset!$J$2:$J$807&lt;&gt;"")),"")</f>
        <v/>
      </c>
    </row>
    <row r="357">
      <c r="A357" s="2" t="inlineStr">
        <is>
          <t>MD Steele</t>
        </is>
      </c>
      <c r="B357" s="2">
        <f>SUMPRODUCT(--(dataset!$C$2:$C$807=$A357))</f>
        <v/>
      </c>
      <c r="C357" s="3">
        <f>SUMPRODUCT((dataset!$C$2:$C$807=$A357)*dataset!$B$2:$B$807)/B357</f>
        <v/>
      </c>
      <c r="D357" s="2">
        <f>_xlfn.MINIFS(dataset!$B$2:$B$807,dataset!$C$2:$C$807,$A357)</f>
        <v/>
      </c>
      <c r="E357" s="2">
        <f>_xlfn.MAXIFS(dataset!$B$2:$B$807,dataset!$C$2:$C$807,$A357)</f>
        <v/>
      </c>
      <c r="F357" s="3">
        <f>IFERROR(SUMPRODUCT((dataset!$C$2:$C$807=$A357)*dataset!$I$2:$I$807)/SUMPRODUCT((dataset!$C$2:$C$807=$A357)*(dataset!$I$2:$I$807&lt;&gt;"")),"")</f>
        <v/>
      </c>
      <c r="G357" s="3">
        <f>IFERROR(SUMPRODUCT((dataset!$C$2:$C$807=$A357)*dataset!$J$2:$J$807)/SUMPRODUCT((dataset!$C$2:$C$807=$A357)*(dataset!$J$2:$J$807&lt;&gt;"")),"")</f>
        <v/>
      </c>
    </row>
    <row r="358">
      <c r="A358" s="2" t="inlineStr">
        <is>
          <t>Micha</t>
        </is>
      </c>
      <c r="B358" s="2">
        <f>SUMPRODUCT(--(dataset!$C$2:$C$807=$A358))</f>
        <v/>
      </c>
      <c r="C358" s="3">
        <f>SUMPRODUCT((dataset!$C$2:$C$807=$A358)*dataset!$B$2:$B$807)/B358</f>
        <v/>
      </c>
      <c r="D358" s="2">
        <f>_xlfn.MINIFS(dataset!$B$2:$B$807,dataset!$C$2:$C$807,$A358)</f>
        <v/>
      </c>
      <c r="E358" s="2">
        <f>_xlfn.MAXIFS(dataset!$B$2:$B$807,dataset!$C$2:$C$807,$A358)</f>
        <v/>
      </c>
      <c r="F358" s="3">
        <f>IFERROR(SUMPRODUCT((dataset!$C$2:$C$807=$A358)*dataset!$I$2:$I$807)/SUMPRODUCT((dataset!$C$2:$C$807=$A358)*(dataset!$I$2:$I$807&lt;&gt;"")),"")</f>
        <v/>
      </c>
      <c r="G358" s="3">
        <f>IFERROR(SUMPRODUCT((dataset!$C$2:$C$807=$A358)*dataset!$J$2:$J$807)/SUMPRODUCT((dataset!$C$2:$C$807=$A358)*(dataset!$J$2:$J$807&lt;&gt;"")),"")</f>
        <v/>
      </c>
    </row>
    <row r="359">
      <c r="A359" s="2" t="inlineStr">
        <is>
          <t>Michael Garson</t>
        </is>
      </c>
      <c r="B359" s="2">
        <f>SUMPRODUCT(--(dataset!$C$2:$C$807=$A359))</f>
        <v/>
      </c>
      <c r="C359" s="3">
        <f>SUMPRODUCT((dataset!$C$2:$C$807=$A359)*dataset!$B$2:$B$807)/B359</f>
        <v/>
      </c>
      <c r="D359" s="2">
        <f>_xlfn.MINIFS(dataset!$B$2:$B$807,dataset!$C$2:$C$807,$A359)</f>
        <v/>
      </c>
      <c r="E359" s="2">
        <f>_xlfn.MAXIFS(dataset!$B$2:$B$807,dataset!$C$2:$C$807,$A359)</f>
        <v/>
      </c>
      <c r="F359" s="3">
        <f>IFERROR(SUMPRODUCT((dataset!$C$2:$C$807=$A359)*dataset!$I$2:$I$807)/SUMPRODUCT((dataset!$C$2:$C$807=$A359)*(dataset!$I$2:$I$807&lt;&gt;"")),"")</f>
        <v/>
      </c>
      <c r="G359" s="3">
        <f>IFERROR(SUMPRODUCT((dataset!$C$2:$C$807=$A359)*dataset!$J$2:$J$807)/SUMPRODUCT((dataset!$C$2:$C$807=$A359)*(dataset!$J$2:$J$807&lt;&gt;"")),"")</f>
        <v/>
      </c>
    </row>
    <row r="360">
      <c r="A360" s="2" t="inlineStr">
        <is>
          <t>Michael Giacchino</t>
        </is>
      </c>
      <c r="B360" s="2">
        <f>SUMPRODUCT(--(dataset!$C$2:$C$807=$A360))</f>
        <v/>
      </c>
      <c r="C360" s="3">
        <f>SUMPRODUCT((dataset!$C$2:$C$807=$A360)*dataset!$B$2:$B$807)/B360</f>
        <v/>
      </c>
      <c r="D360" s="2">
        <f>_xlfn.MINIFS(dataset!$B$2:$B$807,dataset!$C$2:$C$807,$A360)</f>
        <v/>
      </c>
      <c r="E360" s="2">
        <f>_xlfn.MAXIFS(dataset!$B$2:$B$807,dataset!$C$2:$C$807,$A360)</f>
        <v/>
      </c>
      <c r="F360" s="3">
        <f>IFERROR(SUMPRODUCT((dataset!$C$2:$C$807=$A360)*dataset!$I$2:$I$807)/SUMPRODUCT((dataset!$C$2:$C$807=$A360)*(dataset!$I$2:$I$807&lt;&gt;"")),"")</f>
        <v/>
      </c>
      <c r="G360" s="3">
        <f>IFERROR(SUMPRODUCT((dataset!$C$2:$C$807=$A360)*dataset!$J$2:$J$807)/SUMPRODUCT((dataset!$C$2:$C$807=$A360)*(dataset!$J$2:$J$807&lt;&gt;"")),"")</f>
        <v/>
      </c>
    </row>
    <row r="361">
      <c r="A361" s="2" t="inlineStr">
        <is>
          <t>Michael Price &amp; David Arnold</t>
        </is>
      </c>
      <c r="B361" s="2">
        <f>SUMPRODUCT(--(dataset!$C$2:$C$807=$A361))</f>
        <v/>
      </c>
      <c r="C361" s="3">
        <f>SUMPRODUCT((dataset!$C$2:$C$807=$A361)*dataset!$B$2:$B$807)/B361</f>
        <v/>
      </c>
      <c r="D361" s="2">
        <f>_xlfn.MINIFS(dataset!$B$2:$B$807,dataset!$C$2:$C$807,$A361)</f>
        <v/>
      </c>
      <c r="E361" s="2">
        <f>_xlfn.MAXIFS(dataset!$B$2:$B$807,dataset!$C$2:$C$807,$A361)</f>
        <v/>
      </c>
      <c r="F361" s="3">
        <f>IFERROR(SUMPRODUCT((dataset!$C$2:$C$807=$A361)*dataset!$I$2:$I$807)/SUMPRODUCT((dataset!$C$2:$C$807=$A361)*(dataset!$I$2:$I$807&lt;&gt;"")),"")</f>
        <v/>
      </c>
      <c r="G361" s="3">
        <f>IFERROR(SUMPRODUCT((dataset!$C$2:$C$807=$A361)*dataset!$J$2:$J$807)/SUMPRODUCT((dataset!$C$2:$C$807=$A361)*(dataset!$J$2:$J$807&lt;&gt;"")),"")</f>
        <v/>
      </c>
    </row>
    <row r="362">
      <c r="A362" s="2" t="inlineStr">
        <is>
          <t>Mili</t>
        </is>
      </c>
      <c r="B362" s="2">
        <f>SUMPRODUCT(--(dataset!$C$2:$C$807=$A362))</f>
        <v/>
      </c>
      <c r="C362" s="3">
        <f>SUMPRODUCT((dataset!$C$2:$C$807=$A362)*dataset!$B$2:$B$807)/B362</f>
        <v/>
      </c>
      <c r="D362" s="2">
        <f>_xlfn.MINIFS(dataset!$B$2:$B$807,dataset!$C$2:$C$807,$A362)</f>
        <v/>
      </c>
      <c r="E362" s="2">
        <f>_xlfn.MAXIFS(dataset!$B$2:$B$807,dataset!$C$2:$C$807,$A362)</f>
        <v/>
      </c>
      <c r="F362" s="3">
        <f>IFERROR(SUMPRODUCT((dataset!$C$2:$C$807=$A362)*dataset!$I$2:$I$807)/SUMPRODUCT((dataset!$C$2:$C$807=$A362)*(dataset!$I$2:$I$807&lt;&gt;"")),"")</f>
        <v/>
      </c>
      <c r="G362" s="3">
        <f>IFERROR(SUMPRODUCT((dataset!$C$2:$C$807=$A362)*dataset!$J$2:$J$807)/SUMPRODUCT((dataset!$C$2:$C$807=$A362)*(dataset!$J$2:$J$807&lt;&gt;"")),"")</f>
        <v/>
      </c>
    </row>
    <row r="363">
      <c r="A363" s="2" t="inlineStr">
        <is>
          <t>Monsoor</t>
        </is>
      </c>
      <c r="B363" s="2">
        <f>SUMPRODUCT(--(dataset!$C$2:$C$807=$A363))</f>
        <v/>
      </c>
      <c r="C363" s="3">
        <f>SUMPRODUCT((dataset!$C$2:$C$807=$A363)*dataset!$B$2:$B$807)/B363</f>
        <v/>
      </c>
      <c r="D363" s="2">
        <f>_xlfn.MINIFS(dataset!$B$2:$B$807,dataset!$C$2:$C$807,$A363)</f>
        <v/>
      </c>
      <c r="E363" s="2">
        <f>_xlfn.MAXIFS(dataset!$B$2:$B$807,dataset!$C$2:$C$807,$A363)</f>
        <v/>
      </c>
      <c r="F363" s="3">
        <f>IFERROR(SUMPRODUCT((dataset!$C$2:$C$807=$A363)*dataset!$I$2:$I$807)/SUMPRODUCT((dataset!$C$2:$C$807=$A363)*(dataset!$I$2:$I$807&lt;&gt;"")),"")</f>
        <v/>
      </c>
      <c r="G363" s="3">
        <f>IFERROR(SUMPRODUCT((dataset!$C$2:$C$807=$A363)*dataset!$J$2:$J$807)/SUMPRODUCT((dataset!$C$2:$C$807=$A363)*(dataset!$J$2:$J$807&lt;&gt;"")),"")</f>
        <v/>
      </c>
    </row>
    <row r="364">
      <c r="A364" s="2" t="inlineStr">
        <is>
          <t>N. Bierbaum</t>
        </is>
      </c>
      <c r="B364" s="2">
        <f>SUMPRODUCT(--(dataset!$C$2:$C$807=$A364))</f>
        <v/>
      </c>
      <c r="C364" s="3">
        <f>SUMPRODUCT((dataset!$C$2:$C$807=$A364)*dataset!$B$2:$B$807)/B364</f>
        <v/>
      </c>
      <c r="D364" s="2">
        <f>_xlfn.MINIFS(dataset!$B$2:$B$807,dataset!$C$2:$C$807,$A364)</f>
        <v/>
      </c>
      <c r="E364" s="2">
        <f>_xlfn.MAXIFS(dataset!$B$2:$B$807,dataset!$C$2:$C$807,$A364)</f>
        <v/>
      </c>
      <c r="F364" s="3">
        <f>IFERROR(SUMPRODUCT((dataset!$C$2:$C$807=$A364)*dataset!$I$2:$I$807)/SUMPRODUCT((dataset!$C$2:$C$807=$A364)*(dataset!$I$2:$I$807&lt;&gt;"")),"")</f>
        <v/>
      </c>
      <c r="G364" s="3">
        <f>IFERROR(SUMPRODUCT((dataset!$C$2:$C$807=$A364)*dataset!$J$2:$J$807)/SUMPRODUCT((dataset!$C$2:$C$807=$A364)*(dataset!$J$2:$J$807&lt;&gt;"")),"")</f>
        <v/>
      </c>
    </row>
    <row r="365">
      <c r="A365" s="2" t="inlineStr">
        <is>
          <t>Nakanishi Ryosuke</t>
        </is>
      </c>
      <c r="B365" s="2">
        <f>SUMPRODUCT(--(dataset!$C$2:$C$807=$A365))</f>
        <v/>
      </c>
      <c r="C365" s="3">
        <f>SUMPRODUCT((dataset!$C$2:$C$807=$A365)*dataset!$B$2:$B$807)/B365</f>
        <v/>
      </c>
      <c r="D365" s="2">
        <f>_xlfn.MINIFS(dataset!$B$2:$B$807,dataset!$C$2:$C$807,$A365)</f>
        <v/>
      </c>
      <c r="E365" s="2">
        <f>_xlfn.MAXIFS(dataset!$B$2:$B$807,dataset!$C$2:$C$807,$A365)</f>
        <v/>
      </c>
      <c r="F365" s="3">
        <f>IFERROR(SUMPRODUCT((dataset!$C$2:$C$807=$A365)*dataset!$I$2:$I$807)/SUMPRODUCT((dataset!$C$2:$C$807=$A365)*(dataset!$I$2:$I$807&lt;&gt;"")),"")</f>
        <v/>
      </c>
      <c r="G365" s="3">
        <f>IFERROR(SUMPRODUCT((dataset!$C$2:$C$807=$A365)*dataset!$J$2:$J$807)/SUMPRODUCT((dataset!$C$2:$C$807=$A365)*(dataset!$J$2:$J$807&lt;&gt;"")),"")</f>
        <v/>
      </c>
    </row>
    <row r="366">
      <c r="A366" s="2" t="inlineStr">
        <is>
          <t>Nat D. Ayer</t>
        </is>
      </c>
      <c r="B366" s="2">
        <f>SUMPRODUCT(--(dataset!$C$2:$C$807=$A366))</f>
        <v/>
      </c>
      <c r="C366" s="3">
        <f>SUMPRODUCT((dataset!$C$2:$C$807=$A366)*dataset!$B$2:$B$807)/B366</f>
        <v/>
      </c>
      <c r="D366" s="2">
        <f>_xlfn.MINIFS(dataset!$B$2:$B$807,dataset!$C$2:$C$807,$A366)</f>
        <v/>
      </c>
      <c r="E366" s="2">
        <f>_xlfn.MAXIFS(dataset!$B$2:$B$807,dataset!$C$2:$C$807,$A366)</f>
        <v/>
      </c>
      <c r="F366" s="3">
        <f>IFERROR(SUMPRODUCT((dataset!$C$2:$C$807=$A366)*dataset!$I$2:$I$807)/SUMPRODUCT((dataset!$C$2:$C$807=$A366)*(dataset!$I$2:$I$807&lt;&gt;"")),"")</f>
        <v/>
      </c>
      <c r="G366" s="3">
        <f>IFERROR(SUMPRODUCT((dataset!$C$2:$C$807=$A366)*dataset!$J$2:$J$807)/SUMPRODUCT((dataset!$C$2:$C$807=$A366)*(dataset!$J$2:$J$807&lt;&gt;"")),"")</f>
        <v/>
      </c>
    </row>
    <row r="367">
      <c r="A367" s="2" t="inlineStr">
        <is>
          <t>Nathan Chapman</t>
        </is>
      </c>
      <c r="B367" s="2">
        <f>SUMPRODUCT(--(dataset!$C$2:$C$807=$A367))</f>
        <v/>
      </c>
      <c r="C367" s="3">
        <f>SUMPRODUCT((dataset!$C$2:$C$807=$A367)*dataset!$B$2:$B$807)/B367</f>
        <v/>
      </c>
      <c r="D367" s="2">
        <f>_xlfn.MINIFS(dataset!$B$2:$B$807,dataset!$C$2:$C$807,$A367)</f>
        <v/>
      </c>
      <c r="E367" s="2">
        <f>_xlfn.MAXIFS(dataset!$B$2:$B$807,dataset!$C$2:$C$807,$A367)</f>
        <v/>
      </c>
      <c r="F367" s="3">
        <f>IFERROR(SUMPRODUCT((dataset!$C$2:$C$807=$A367)*dataset!$I$2:$I$807)/SUMPRODUCT((dataset!$C$2:$C$807=$A367)*(dataset!$I$2:$I$807&lt;&gt;"")),"")</f>
        <v/>
      </c>
      <c r="G367" s="3">
        <f>IFERROR(SUMPRODUCT((dataset!$C$2:$C$807=$A367)*dataset!$J$2:$J$807)/SUMPRODUCT((dataset!$C$2:$C$807=$A367)*(dataset!$J$2:$J$807&lt;&gt;"")),"")</f>
        <v/>
      </c>
    </row>
    <row r="368">
      <c r="A368" s="2" t="inlineStr">
        <is>
          <t>Nelu Ionescu</t>
        </is>
      </c>
      <c r="B368" s="2">
        <f>SUMPRODUCT(--(dataset!$C$2:$C$807=$A368))</f>
        <v/>
      </c>
      <c r="C368" s="3">
        <f>SUMPRODUCT((dataset!$C$2:$C$807=$A368)*dataset!$B$2:$B$807)/B368</f>
        <v/>
      </c>
      <c r="D368" s="2">
        <f>_xlfn.MINIFS(dataset!$B$2:$B$807,dataset!$C$2:$C$807,$A368)</f>
        <v/>
      </c>
      <c r="E368" s="2">
        <f>_xlfn.MAXIFS(dataset!$B$2:$B$807,dataset!$C$2:$C$807,$A368)</f>
        <v/>
      </c>
      <c r="F368" s="3">
        <f>IFERROR(SUMPRODUCT((dataset!$C$2:$C$807=$A368)*dataset!$I$2:$I$807)/SUMPRODUCT((dataset!$C$2:$C$807=$A368)*(dataset!$I$2:$I$807&lt;&gt;"")),"")</f>
        <v/>
      </c>
      <c r="G368" s="3">
        <f>IFERROR(SUMPRODUCT((dataset!$C$2:$C$807=$A368)*dataset!$J$2:$J$807)/SUMPRODUCT((dataset!$C$2:$C$807=$A368)*(dataset!$J$2:$J$807&lt;&gt;"")),"")</f>
        <v/>
      </c>
    </row>
    <row r="369">
      <c r="A369" s="2" t="inlineStr">
        <is>
          <t>Nick Carnelian</t>
        </is>
      </c>
      <c r="B369" s="2">
        <f>SUMPRODUCT(--(dataset!$C$2:$C$807=$A369))</f>
        <v/>
      </c>
      <c r="C369" s="3">
        <f>SUMPRODUCT((dataset!$C$2:$C$807=$A369)*dataset!$B$2:$B$807)/B369</f>
        <v/>
      </c>
      <c r="D369" s="2">
        <f>_xlfn.MINIFS(dataset!$B$2:$B$807,dataset!$C$2:$C$807,$A369)</f>
        <v/>
      </c>
      <c r="E369" s="2">
        <f>_xlfn.MAXIFS(dataset!$B$2:$B$807,dataset!$C$2:$C$807,$A369)</f>
        <v/>
      </c>
      <c r="F369" s="3">
        <f>IFERROR(SUMPRODUCT((dataset!$C$2:$C$807=$A369)*dataset!$I$2:$I$807)/SUMPRODUCT((dataset!$C$2:$C$807=$A369)*(dataset!$I$2:$I$807&lt;&gt;"")),"")</f>
        <v/>
      </c>
      <c r="G369" s="3">
        <f>IFERROR(SUMPRODUCT((dataset!$C$2:$C$807=$A369)*dataset!$J$2:$J$807)/SUMPRODUCT((dataset!$C$2:$C$807=$A369)*(dataset!$J$2:$J$807&lt;&gt;"")),"")</f>
        <v/>
      </c>
    </row>
    <row r="370">
      <c r="A370" s="2" t="inlineStr">
        <is>
          <t>Nicola Clavel-Ouellette</t>
        </is>
      </c>
      <c r="B370" s="2">
        <f>SUMPRODUCT(--(dataset!$C$2:$C$807=$A370))</f>
        <v/>
      </c>
      <c r="C370" s="3">
        <f>SUMPRODUCT((dataset!$C$2:$C$807=$A370)*dataset!$B$2:$B$807)/B370</f>
        <v/>
      </c>
      <c r="D370" s="2">
        <f>_xlfn.MINIFS(dataset!$B$2:$B$807,dataset!$C$2:$C$807,$A370)</f>
        <v/>
      </c>
      <c r="E370" s="2">
        <f>_xlfn.MAXIFS(dataset!$B$2:$B$807,dataset!$C$2:$C$807,$A370)</f>
        <v/>
      </c>
      <c r="F370" s="3">
        <f>IFERROR(SUMPRODUCT((dataset!$C$2:$C$807=$A370)*dataset!$I$2:$I$807)/SUMPRODUCT((dataset!$C$2:$C$807=$A370)*(dataset!$I$2:$I$807&lt;&gt;"")),"")</f>
        <v/>
      </c>
      <c r="G370" s="3">
        <f>IFERROR(SUMPRODUCT((dataset!$C$2:$C$807=$A370)*dataset!$J$2:$J$807)/SUMPRODUCT((dataset!$C$2:$C$807=$A370)*(dataset!$J$2:$J$807&lt;&gt;"")),"")</f>
        <v/>
      </c>
    </row>
    <row r="371">
      <c r="A371" s="2" t="inlineStr">
        <is>
          <t>Nirvana</t>
        </is>
      </c>
      <c r="B371" s="2">
        <f>SUMPRODUCT(--(dataset!$C$2:$C$807=$A371))</f>
        <v/>
      </c>
      <c r="C371" s="3">
        <f>SUMPRODUCT((dataset!$C$2:$C$807=$A371)*dataset!$B$2:$B$807)/B371</f>
        <v/>
      </c>
      <c r="D371" s="2">
        <f>_xlfn.MINIFS(dataset!$B$2:$B$807,dataset!$C$2:$C$807,$A371)</f>
        <v/>
      </c>
      <c r="E371" s="2">
        <f>_xlfn.MAXIFS(dataset!$B$2:$B$807,dataset!$C$2:$C$807,$A371)</f>
        <v/>
      </c>
      <c r="F371" s="3">
        <f>IFERROR(SUMPRODUCT((dataset!$C$2:$C$807=$A371)*dataset!$I$2:$I$807)/SUMPRODUCT((dataset!$C$2:$C$807=$A371)*(dataset!$I$2:$I$807&lt;&gt;"")),"")</f>
        <v/>
      </c>
      <c r="G371" s="3">
        <f>IFERROR(SUMPRODUCT((dataset!$C$2:$C$807=$A371)*dataset!$J$2:$J$807)/SUMPRODUCT((dataset!$C$2:$C$807=$A371)*(dataset!$J$2:$J$807&lt;&gt;"")),"")</f>
        <v/>
      </c>
    </row>
    <row r="372">
      <c r="A372" s="2" t="inlineStr">
        <is>
          <t>NIZEYIMANA Parfait</t>
        </is>
      </c>
      <c r="B372" s="2">
        <f>SUMPRODUCT(--(dataset!$C$2:$C$807=$A372))</f>
        <v/>
      </c>
      <c r="C372" s="3">
        <f>SUMPRODUCT((dataset!$C$2:$C$807=$A372)*dataset!$B$2:$B$807)/B372</f>
        <v/>
      </c>
      <c r="D372" s="2">
        <f>_xlfn.MINIFS(dataset!$B$2:$B$807,dataset!$C$2:$C$807,$A372)</f>
        <v/>
      </c>
      <c r="E372" s="2">
        <f>_xlfn.MAXIFS(dataset!$B$2:$B$807,dataset!$C$2:$C$807,$A372)</f>
        <v/>
      </c>
      <c r="F372" s="3">
        <f>IFERROR(SUMPRODUCT((dataset!$C$2:$C$807=$A372)*dataset!$I$2:$I$807)/SUMPRODUCT((dataset!$C$2:$C$807=$A372)*(dataset!$I$2:$I$807&lt;&gt;"")),"")</f>
        <v/>
      </c>
      <c r="G372" s="3">
        <f>IFERROR(SUMPRODUCT((dataset!$C$2:$C$807=$A372)*dataset!$J$2:$J$807)/SUMPRODUCT((dataset!$C$2:$C$807=$A372)*(dataset!$J$2:$J$807&lt;&gt;"")),"")</f>
        <v/>
      </c>
    </row>
    <row r="373">
      <c r="A373" s="2" t="inlineStr">
        <is>
          <t>Noah T.</t>
        </is>
      </c>
      <c r="B373" s="2">
        <f>SUMPRODUCT(--(dataset!$C$2:$C$807=$A373))</f>
        <v/>
      </c>
      <c r="C373" s="3">
        <f>SUMPRODUCT((dataset!$C$2:$C$807=$A373)*dataset!$B$2:$B$807)/B373</f>
        <v/>
      </c>
      <c r="D373" s="2">
        <f>_xlfn.MINIFS(dataset!$B$2:$B$807,dataset!$C$2:$C$807,$A373)</f>
        <v/>
      </c>
      <c r="E373" s="2">
        <f>_xlfn.MAXIFS(dataset!$B$2:$B$807,dataset!$C$2:$C$807,$A373)</f>
        <v/>
      </c>
      <c r="F373" s="3">
        <f>IFERROR(SUMPRODUCT((dataset!$C$2:$C$807=$A373)*dataset!$I$2:$I$807)/SUMPRODUCT((dataset!$C$2:$C$807=$A373)*(dataset!$I$2:$I$807&lt;&gt;"")),"")</f>
        <v/>
      </c>
      <c r="G373" s="3">
        <f>IFERROR(SUMPRODUCT((dataset!$C$2:$C$807=$A373)*dataset!$J$2:$J$807)/SUMPRODUCT((dataset!$C$2:$C$807=$A373)*(dataset!$J$2:$J$807&lt;&gt;"")),"")</f>
        <v/>
      </c>
    </row>
    <row r="374">
      <c r="A374" s="2" t="inlineStr">
        <is>
          <t>Ok chang</t>
        </is>
      </c>
      <c r="B374" s="2">
        <f>SUMPRODUCT(--(dataset!$C$2:$C$807=$A374))</f>
        <v/>
      </c>
      <c r="C374" s="3">
        <f>SUMPRODUCT((dataset!$C$2:$C$807=$A374)*dataset!$B$2:$B$807)/B374</f>
        <v/>
      </c>
      <c r="D374" s="2">
        <f>_xlfn.MINIFS(dataset!$B$2:$B$807,dataset!$C$2:$C$807,$A374)</f>
        <v/>
      </c>
      <c r="E374" s="2">
        <f>_xlfn.MAXIFS(dataset!$B$2:$B$807,dataset!$C$2:$C$807,$A374)</f>
        <v/>
      </c>
      <c r="F374" s="3">
        <f>IFERROR(SUMPRODUCT((dataset!$C$2:$C$807=$A374)*dataset!$I$2:$I$807)/SUMPRODUCT((dataset!$C$2:$C$807=$A374)*(dataset!$I$2:$I$807&lt;&gt;"")),"")</f>
        <v/>
      </c>
      <c r="G374" s="3">
        <f>IFERROR(SUMPRODUCT((dataset!$C$2:$C$807=$A374)*dataset!$J$2:$J$807)/SUMPRODUCT((dataset!$C$2:$C$807=$A374)*(dataset!$J$2:$J$807&lt;&gt;"")),"")</f>
        <v/>
      </c>
    </row>
    <row r="375">
      <c r="A375" s="2" t="inlineStr">
        <is>
          <t>Oka Adimchi Sylvester</t>
        </is>
      </c>
      <c r="B375" s="2">
        <f>SUMPRODUCT(--(dataset!$C$2:$C$807=$A375))</f>
        <v/>
      </c>
      <c r="C375" s="3">
        <f>SUMPRODUCT((dataset!$C$2:$C$807=$A375)*dataset!$B$2:$B$807)/B375</f>
        <v/>
      </c>
      <c r="D375" s="2">
        <f>_xlfn.MINIFS(dataset!$B$2:$B$807,dataset!$C$2:$C$807,$A375)</f>
        <v/>
      </c>
      <c r="E375" s="2">
        <f>_xlfn.MAXIFS(dataset!$B$2:$B$807,dataset!$C$2:$C$807,$A375)</f>
        <v/>
      </c>
      <c r="F375" s="3">
        <f>IFERROR(SUMPRODUCT((dataset!$C$2:$C$807=$A375)*dataset!$I$2:$I$807)/SUMPRODUCT((dataset!$C$2:$C$807=$A375)*(dataset!$I$2:$I$807&lt;&gt;"")),"")</f>
        <v/>
      </c>
      <c r="G375" s="3">
        <f>IFERROR(SUMPRODUCT((dataset!$C$2:$C$807=$A375)*dataset!$J$2:$J$807)/SUMPRODUCT((dataset!$C$2:$C$807=$A375)*(dataset!$J$2:$J$807&lt;&gt;"")),"")</f>
        <v/>
      </c>
    </row>
    <row r="376">
      <c r="A376" s="2" t="inlineStr">
        <is>
          <t>Oliver Guy Magee</t>
        </is>
      </c>
      <c r="B376" s="2">
        <f>SUMPRODUCT(--(dataset!$C$2:$C$807=$A376))</f>
        <v/>
      </c>
      <c r="C376" s="3">
        <f>SUMPRODUCT((dataset!$C$2:$C$807=$A376)*dataset!$B$2:$B$807)/B376</f>
        <v/>
      </c>
      <c r="D376" s="2">
        <f>_xlfn.MINIFS(dataset!$B$2:$B$807,dataset!$C$2:$C$807,$A376)</f>
        <v/>
      </c>
      <c r="E376" s="2">
        <f>_xlfn.MAXIFS(dataset!$B$2:$B$807,dataset!$C$2:$C$807,$A376)</f>
        <v/>
      </c>
      <c r="F376" s="3">
        <f>IFERROR(SUMPRODUCT((dataset!$C$2:$C$807=$A376)*dataset!$I$2:$I$807)/SUMPRODUCT((dataset!$C$2:$C$807=$A376)*(dataset!$I$2:$I$807&lt;&gt;"")),"")</f>
        <v/>
      </c>
      <c r="G376" s="3">
        <f>IFERROR(SUMPRODUCT((dataset!$C$2:$C$807=$A376)*dataset!$J$2:$J$807)/SUMPRODUCT((dataset!$C$2:$C$807=$A376)*(dataset!$J$2:$J$807&lt;&gt;"")),"")</f>
        <v/>
      </c>
    </row>
    <row r="377">
      <c r="A377" s="2" t="inlineStr">
        <is>
          <t>Olivia Rodrigo</t>
        </is>
      </c>
      <c r="B377" s="2">
        <f>SUMPRODUCT(--(dataset!$C$2:$C$807=$A377))</f>
        <v/>
      </c>
      <c r="C377" s="3">
        <f>SUMPRODUCT((dataset!$C$2:$C$807=$A377)*dataset!$B$2:$B$807)/B377</f>
        <v/>
      </c>
      <c r="D377" s="2">
        <f>_xlfn.MINIFS(dataset!$B$2:$B$807,dataset!$C$2:$C$807,$A377)</f>
        <v/>
      </c>
      <c r="E377" s="2">
        <f>_xlfn.MAXIFS(dataset!$B$2:$B$807,dataset!$C$2:$C$807,$A377)</f>
        <v/>
      </c>
      <c r="F377" s="3">
        <f>IFERROR(SUMPRODUCT((dataset!$C$2:$C$807=$A377)*dataset!$I$2:$I$807)/SUMPRODUCT((dataset!$C$2:$C$807=$A377)*(dataset!$I$2:$I$807&lt;&gt;"")),"")</f>
        <v/>
      </c>
      <c r="G377" s="3">
        <f>IFERROR(SUMPRODUCT((dataset!$C$2:$C$807=$A377)*dataset!$J$2:$J$807)/SUMPRODUCT((dataset!$C$2:$C$807=$A377)*(dataset!$J$2:$J$807&lt;&gt;"")),"")</f>
        <v/>
      </c>
    </row>
    <row r="378">
      <c r="A378" s="2" t="inlineStr">
        <is>
          <t>Olivier Messiaen</t>
        </is>
      </c>
      <c r="B378" s="2">
        <f>SUMPRODUCT(--(dataset!$C$2:$C$807=$A378))</f>
        <v/>
      </c>
      <c r="C378" s="3">
        <f>SUMPRODUCT((dataset!$C$2:$C$807=$A378)*dataset!$B$2:$B$807)/B378</f>
        <v/>
      </c>
      <c r="D378" s="2">
        <f>_xlfn.MINIFS(dataset!$B$2:$B$807,dataset!$C$2:$C$807,$A378)</f>
        <v/>
      </c>
      <c r="E378" s="2">
        <f>_xlfn.MAXIFS(dataset!$B$2:$B$807,dataset!$C$2:$C$807,$A378)</f>
        <v/>
      </c>
      <c r="F378" s="3">
        <f>IFERROR(SUMPRODUCT((dataset!$C$2:$C$807=$A378)*dataset!$I$2:$I$807)/SUMPRODUCT((dataset!$C$2:$C$807=$A378)*(dataset!$I$2:$I$807&lt;&gt;"")),"")</f>
        <v/>
      </c>
      <c r="G378" s="3">
        <f>IFERROR(SUMPRODUCT((dataset!$C$2:$C$807=$A378)*dataset!$J$2:$J$807)/SUMPRODUCT((dataset!$C$2:$C$807=$A378)*(dataset!$J$2:$J$807&lt;&gt;"")),"")</f>
        <v/>
      </c>
    </row>
    <row r="379">
      <c r="A379" s="2" t="inlineStr">
        <is>
          <t>Olivier Pouech</t>
        </is>
      </c>
      <c r="B379" s="2">
        <f>SUMPRODUCT(--(dataset!$C$2:$C$807=$A379))</f>
        <v/>
      </c>
      <c r="C379" s="3">
        <f>SUMPRODUCT((dataset!$C$2:$C$807=$A379)*dataset!$B$2:$B$807)/B379</f>
        <v/>
      </c>
      <c r="D379" s="2">
        <f>_xlfn.MINIFS(dataset!$B$2:$B$807,dataset!$C$2:$C$807,$A379)</f>
        <v/>
      </c>
      <c r="E379" s="2">
        <f>_xlfn.MAXIFS(dataset!$B$2:$B$807,dataset!$C$2:$C$807,$A379)</f>
        <v/>
      </c>
      <c r="F379" s="3">
        <f>IFERROR(SUMPRODUCT((dataset!$C$2:$C$807=$A379)*dataset!$I$2:$I$807)/SUMPRODUCT((dataset!$C$2:$C$807=$A379)*(dataset!$I$2:$I$807&lt;&gt;"")),"")</f>
        <v/>
      </c>
      <c r="G379" s="3">
        <f>IFERROR(SUMPRODUCT((dataset!$C$2:$C$807=$A379)*dataset!$J$2:$J$807)/SUMPRODUCT((dataset!$C$2:$C$807=$A379)*(dataset!$J$2:$J$807&lt;&gt;"")),"")</f>
        <v/>
      </c>
    </row>
    <row r="380">
      <c r="A380" s="2" t="inlineStr">
        <is>
          <t>Ottorino Respighi</t>
        </is>
      </c>
      <c r="B380" s="2">
        <f>SUMPRODUCT(--(dataset!$C$2:$C$807=$A380))</f>
        <v/>
      </c>
      <c r="C380" s="3">
        <f>SUMPRODUCT((dataset!$C$2:$C$807=$A380)*dataset!$B$2:$B$807)/B380</f>
        <v/>
      </c>
      <c r="D380" s="2">
        <f>_xlfn.MINIFS(dataset!$B$2:$B$807,dataset!$C$2:$C$807,$A380)</f>
        <v/>
      </c>
      <c r="E380" s="2">
        <f>_xlfn.MAXIFS(dataset!$B$2:$B$807,dataset!$C$2:$C$807,$A380)</f>
        <v/>
      </c>
      <c r="F380" s="3">
        <f>IFERROR(SUMPRODUCT((dataset!$C$2:$C$807=$A380)*dataset!$I$2:$I$807)/SUMPRODUCT((dataset!$C$2:$C$807=$A380)*(dataset!$I$2:$I$807&lt;&gt;"")),"")</f>
        <v/>
      </c>
      <c r="G380" s="3">
        <f>IFERROR(SUMPRODUCT((dataset!$C$2:$C$807=$A380)*dataset!$J$2:$J$807)/SUMPRODUCT((dataset!$C$2:$C$807=$A380)*(dataset!$J$2:$J$807&lt;&gt;"")),"")</f>
        <v/>
      </c>
    </row>
    <row r="381">
      <c r="A381" s="2" t="inlineStr">
        <is>
          <t>Pat Schweenis</t>
        </is>
      </c>
      <c r="B381" s="2">
        <f>SUMPRODUCT(--(dataset!$C$2:$C$807=$A381))</f>
        <v/>
      </c>
      <c r="C381" s="3">
        <f>SUMPRODUCT((dataset!$C$2:$C$807=$A381)*dataset!$B$2:$B$807)/B381</f>
        <v/>
      </c>
      <c r="D381" s="2">
        <f>_xlfn.MINIFS(dataset!$B$2:$B$807,dataset!$C$2:$C$807,$A381)</f>
        <v/>
      </c>
      <c r="E381" s="2">
        <f>_xlfn.MAXIFS(dataset!$B$2:$B$807,dataset!$C$2:$C$807,$A381)</f>
        <v/>
      </c>
      <c r="F381" s="3">
        <f>IFERROR(SUMPRODUCT((dataset!$C$2:$C$807=$A381)*dataset!$I$2:$I$807)/SUMPRODUCT((dataset!$C$2:$C$807=$A381)*(dataset!$I$2:$I$807&lt;&gt;"")),"")</f>
        <v/>
      </c>
      <c r="G381" s="3">
        <f>IFERROR(SUMPRODUCT((dataset!$C$2:$C$807=$A381)*dataset!$J$2:$J$807)/SUMPRODUCT((dataset!$C$2:$C$807=$A381)*(dataset!$J$2:$J$807&lt;&gt;"")),"")</f>
        <v/>
      </c>
    </row>
    <row r="382">
      <c r="A382" s="2" t="inlineStr">
        <is>
          <t>Patrik Pietschmann</t>
        </is>
      </c>
      <c r="B382" s="2">
        <f>SUMPRODUCT(--(dataset!$C$2:$C$807=$A382))</f>
        <v/>
      </c>
      <c r="C382" s="3">
        <f>SUMPRODUCT((dataset!$C$2:$C$807=$A382)*dataset!$B$2:$B$807)/B382</f>
        <v/>
      </c>
      <c r="D382" s="2">
        <f>_xlfn.MINIFS(dataset!$B$2:$B$807,dataset!$C$2:$C$807,$A382)</f>
        <v/>
      </c>
      <c r="E382" s="2">
        <f>_xlfn.MAXIFS(dataset!$B$2:$B$807,dataset!$C$2:$C$807,$A382)</f>
        <v/>
      </c>
      <c r="F382" s="3">
        <f>IFERROR(SUMPRODUCT((dataset!$C$2:$C$807=$A382)*dataset!$I$2:$I$807)/SUMPRODUCT((dataset!$C$2:$C$807=$A382)*(dataset!$I$2:$I$807&lt;&gt;"")),"")</f>
        <v/>
      </c>
      <c r="G382" s="3">
        <f>IFERROR(SUMPRODUCT((dataset!$C$2:$C$807=$A382)*dataset!$J$2:$J$807)/SUMPRODUCT((dataset!$C$2:$C$807=$A382)*(dataset!$J$2:$J$807&lt;&gt;"")),"")</f>
        <v/>
      </c>
    </row>
    <row r="383">
      <c r="A383" s="2" t="inlineStr">
        <is>
          <t>PC Chin</t>
        </is>
      </c>
      <c r="B383" s="2">
        <f>SUMPRODUCT(--(dataset!$C$2:$C$807=$A383))</f>
        <v/>
      </c>
      <c r="C383" s="3">
        <f>SUMPRODUCT((dataset!$C$2:$C$807=$A383)*dataset!$B$2:$B$807)/B383</f>
        <v/>
      </c>
      <c r="D383" s="2">
        <f>_xlfn.MINIFS(dataset!$B$2:$B$807,dataset!$C$2:$C$807,$A383)</f>
        <v/>
      </c>
      <c r="E383" s="2">
        <f>_xlfn.MAXIFS(dataset!$B$2:$B$807,dataset!$C$2:$C$807,$A383)</f>
        <v/>
      </c>
      <c r="F383" s="3">
        <f>IFERROR(SUMPRODUCT((dataset!$C$2:$C$807=$A383)*dataset!$I$2:$I$807)/SUMPRODUCT((dataset!$C$2:$C$807=$A383)*(dataset!$I$2:$I$807&lt;&gt;"")),"")</f>
        <v/>
      </c>
      <c r="G383" s="3">
        <f>IFERROR(SUMPRODUCT((dataset!$C$2:$C$807=$A383)*dataset!$J$2:$J$807)/SUMPRODUCT((dataset!$C$2:$C$807=$A383)*(dataset!$J$2:$J$807&lt;&gt;"")),"")</f>
        <v/>
      </c>
    </row>
    <row r="384">
      <c r="A384" s="2" t="inlineStr">
        <is>
          <t>Peter Broderick</t>
        </is>
      </c>
      <c r="B384" s="2">
        <f>SUMPRODUCT(--(dataset!$C$2:$C$807=$A384))</f>
        <v/>
      </c>
      <c r="C384" s="3">
        <f>SUMPRODUCT((dataset!$C$2:$C$807=$A384)*dataset!$B$2:$B$807)/B384</f>
        <v/>
      </c>
      <c r="D384" s="2">
        <f>_xlfn.MINIFS(dataset!$B$2:$B$807,dataset!$C$2:$C$807,$A384)</f>
        <v/>
      </c>
      <c r="E384" s="2">
        <f>_xlfn.MAXIFS(dataset!$B$2:$B$807,dataset!$C$2:$C$807,$A384)</f>
        <v/>
      </c>
      <c r="F384" s="3">
        <f>IFERROR(SUMPRODUCT((dataset!$C$2:$C$807=$A384)*dataset!$I$2:$I$807)/SUMPRODUCT((dataset!$C$2:$C$807=$A384)*(dataset!$I$2:$I$807&lt;&gt;"")),"")</f>
        <v/>
      </c>
      <c r="G384" s="3">
        <f>IFERROR(SUMPRODUCT((dataset!$C$2:$C$807=$A384)*dataset!$J$2:$J$807)/SUMPRODUCT((dataset!$C$2:$C$807=$A384)*(dataset!$J$2:$J$807&lt;&gt;"")),"")</f>
        <v/>
      </c>
    </row>
    <row r="385">
      <c r="A385" s="2" t="inlineStr">
        <is>
          <t>Peter M. Heaton</t>
        </is>
      </c>
      <c r="B385" s="2">
        <f>SUMPRODUCT(--(dataset!$C$2:$C$807=$A385))</f>
        <v/>
      </c>
      <c r="C385" s="3">
        <f>SUMPRODUCT((dataset!$C$2:$C$807=$A385)*dataset!$B$2:$B$807)/B385</f>
        <v/>
      </c>
      <c r="D385" s="2">
        <f>_xlfn.MINIFS(dataset!$B$2:$B$807,dataset!$C$2:$C$807,$A385)</f>
        <v/>
      </c>
      <c r="E385" s="2">
        <f>_xlfn.MAXIFS(dataset!$B$2:$B$807,dataset!$C$2:$C$807,$A385)</f>
        <v/>
      </c>
      <c r="F385" s="3">
        <f>IFERROR(SUMPRODUCT((dataset!$C$2:$C$807=$A385)*dataset!$I$2:$I$807)/SUMPRODUCT((dataset!$C$2:$C$807=$A385)*(dataset!$I$2:$I$807&lt;&gt;"")),"")</f>
        <v/>
      </c>
      <c r="G385" s="3">
        <f>IFERROR(SUMPRODUCT((dataset!$C$2:$C$807=$A385)*dataset!$J$2:$J$807)/SUMPRODUCT((dataset!$C$2:$C$807=$A385)*(dataset!$J$2:$J$807&lt;&gt;"")),"")</f>
        <v/>
      </c>
    </row>
    <row r="386">
      <c r="A386" s="2" t="inlineStr">
        <is>
          <t>Philippe Stutz</t>
        </is>
      </c>
      <c r="B386" s="2">
        <f>SUMPRODUCT(--(dataset!$C$2:$C$807=$A386))</f>
        <v/>
      </c>
      <c r="C386" s="3">
        <f>SUMPRODUCT((dataset!$C$2:$C$807=$A386)*dataset!$B$2:$B$807)/B386</f>
        <v/>
      </c>
      <c r="D386" s="2">
        <f>_xlfn.MINIFS(dataset!$B$2:$B$807,dataset!$C$2:$C$807,$A386)</f>
        <v/>
      </c>
      <c r="E386" s="2">
        <f>_xlfn.MAXIFS(dataset!$B$2:$B$807,dataset!$C$2:$C$807,$A386)</f>
        <v/>
      </c>
      <c r="F386" s="3">
        <f>IFERROR(SUMPRODUCT((dataset!$C$2:$C$807=$A386)*dataset!$I$2:$I$807)/SUMPRODUCT((dataset!$C$2:$C$807=$A386)*(dataset!$I$2:$I$807&lt;&gt;"")),"")</f>
        <v/>
      </c>
      <c r="G386" s="3">
        <f>IFERROR(SUMPRODUCT((dataset!$C$2:$C$807=$A386)*dataset!$J$2:$J$807)/SUMPRODUCT((dataset!$C$2:$C$807=$A386)*(dataset!$J$2:$J$807&lt;&gt;"")),"")</f>
        <v/>
      </c>
    </row>
    <row r="387">
      <c r="A387" s="2" t="inlineStr">
        <is>
          <t>Pierre De Geyter</t>
        </is>
      </c>
      <c r="B387" s="2">
        <f>SUMPRODUCT(--(dataset!$C$2:$C$807=$A387))</f>
        <v/>
      </c>
      <c r="C387" s="3">
        <f>SUMPRODUCT((dataset!$C$2:$C$807=$A387)*dataset!$B$2:$B$807)/B387</f>
        <v/>
      </c>
      <c r="D387" s="2">
        <f>_xlfn.MINIFS(dataset!$B$2:$B$807,dataset!$C$2:$C$807,$A387)</f>
        <v/>
      </c>
      <c r="E387" s="2">
        <f>_xlfn.MAXIFS(dataset!$B$2:$B$807,dataset!$C$2:$C$807,$A387)</f>
        <v/>
      </c>
      <c r="F387" s="3">
        <f>IFERROR(SUMPRODUCT((dataset!$C$2:$C$807=$A387)*dataset!$I$2:$I$807)/SUMPRODUCT((dataset!$C$2:$C$807=$A387)*(dataset!$I$2:$I$807&lt;&gt;"")),"")</f>
        <v/>
      </c>
      <c r="G387" s="3">
        <f>IFERROR(SUMPRODUCT((dataset!$C$2:$C$807=$A387)*dataset!$J$2:$J$807)/SUMPRODUCT((dataset!$C$2:$C$807=$A387)*(dataset!$J$2:$J$807&lt;&gt;"")),"")</f>
        <v/>
      </c>
    </row>
    <row r="388">
      <c r="A388" s="2" t="inlineStr">
        <is>
          <t>Praveen Sundar</t>
        </is>
      </c>
      <c r="B388" s="2">
        <f>SUMPRODUCT(--(dataset!$C$2:$C$807=$A388))</f>
        <v/>
      </c>
      <c r="C388" s="3">
        <f>SUMPRODUCT((dataset!$C$2:$C$807=$A388)*dataset!$B$2:$B$807)/B388</f>
        <v/>
      </c>
      <c r="D388" s="2">
        <f>_xlfn.MINIFS(dataset!$B$2:$B$807,dataset!$C$2:$C$807,$A388)</f>
        <v/>
      </c>
      <c r="E388" s="2">
        <f>_xlfn.MAXIFS(dataset!$B$2:$B$807,dataset!$C$2:$C$807,$A388)</f>
        <v/>
      </c>
      <c r="F388" s="3">
        <f>IFERROR(SUMPRODUCT((dataset!$C$2:$C$807=$A388)*dataset!$I$2:$I$807)/SUMPRODUCT((dataset!$C$2:$C$807=$A388)*(dataset!$I$2:$I$807&lt;&gt;"")),"")</f>
        <v/>
      </c>
      <c r="G388" s="3">
        <f>IFERROR(SUMPRODUCT((dataset!$C$2:$C$807=$A388)*dataset!$J$2:$J$807)/SUMPRODUCT((dataset!$C$2:$C$807=$A388)*(dataset!$J$2:$J$807&lt;&gt;"")),"")</f>
        <v/>
      </c>
    </row>
    <row r="389">
      <c r="A389" s="2" t="inlineStr">
        <is>
          <t>R. W. Conner</t>
        </is>
      </c>
      <c r="B389" s="2">
        <f>SUMPRODUCT(--(dataset!$C$2:$C$807=$A389))</f>
        <v/>
      </c>
      <c r="C389" s="3">
        <f>SUMPRODUCT((dataset!$C$2:$C$807=$A389)*dataset!$B$2:$B$807)/B389</f>
        <v/>
      </c>
      <c r="D389" s="2">
        <f>_xlfn.MINIFS(dataset!$B$2:$B$807,dataset!$C$2:$C$807,$A389)</f>
        <v/>
      </c>
      <c r="E389" s="2">
        <f>_xlfn.MAXIFS(dataset!$B$2:$B$807,dataset!$C$2:$C$807,$A389)</f>
        <v/>
      </c>
      <c r="F389" s="3">
        <f>IFERROR(SUMPRODUCT((dataset!$C$2:$C$807=$A389)*dataset!$I$2:$I$807)/SUMPRODUCT((dataset!$C$2:$C$807=$A389)*(dataset!$I$2:$I$807&lt;&gt;"")),"")</f>
        <v/>
      </c>
      <c r="G389" s="3">
        <f>IFERROR(SUMPRODUCT((dataset!$C$2:$C$807=$A389)*dataset!$J$2:$J$807)/SUMPRODUCT((dataset!$C$2:$C$807=$A389)*(dataset!$J$2:$J$807&lt;&gt;"")),"")</f>
        <v/>
      </c>
    </row>
    <row r="390">
      <c r="A390" s="2" t="inlineStr">
        <is>
          <t>Ralph Maria Siegel, Jacques Larue &amp; Georges Auric</t>
        </is>
      </c>
      <c r="B390" s="2">
        <f>SUMPRODUCT(--(dataset!$C$2:$C$807=$A390))</f>
        <v/>
      </c>
      <c r="C390" s="3">
        <f>SUMPRODUCT((dataset!$C$2:$C$807=$A390)*dataset!$B$2:$B$807)/B390</f>
        <v/>
      </c>
      <c r="D390" s="2">
        <f>_xlfn.MINIFS(dataset!$B$2:$B$807,dataset!$C$2:$C$807,$A390)</f>
        <v/>
      </c>
      <c r="E390" s="2">
        <f>_xlfn.MAXIFS(dataset!$B$2:$B$807,dataset!$C$2:$C$807,$A390)</f>
        <v/>
      </c>
      <c r="F390" s="3">
        <f>IFERROR(SUMPRODUCT((dataset!$C$2:$C$807=$A390)*dataset!$I$2:$I$807)/SUMPRODUCT((dataset!$C$2:$C$807=$A390)*(dataset!$I$2:$I$807&lt;&gt;"")),"")</f>
        <v/>
      </c>
      <c r="G390" s="3">
        <f>IFERROR(SUMPRODUCT((dataset!$C$2:$C$807=$A390)*dataset!$J$2:$J$807)/SUMPRODUCT((dataset!$C$2:$C$807=$A390)*(dataset!$J$2:$J$807&lt;&gt;"")),"")</f>
        <v/>
      </c>
    </row>
    <row r="391">
      <c r="A391" s="2" t="inlineStr">
        <is>
          <t>Rammstein</t>
        </is>
      </c>
      <c r="B391" s="2">
        <f>SUMPRODUCT(--(dataset!$C$2:$C$807=$A391))</f>
        <v/>
      </c>
      <c r="C391" s="3">
        <f>SUMPRODUCT((dataset!$C$2:$C$807=$A391)*dataset!$B$2:$B$807)/B391</f>
        <v/>
      </c>
      <c r="D391" s="2">
        <f>_xlfn.MINIFS(dataset!$B$2:$B$807,dataset!$C$2:$C$807,$A391)</f>
        <v/>
      </c>
      <c r="E391" s="2">
        <f>_xlfn.MAXIFS(dataset!$B$2:$B$807,dataset!$C$2:$C$807,$A391)</f>
        <v/>
      </c>
      <c r="F391" s="3">
        <f>IFERROR(SUMPRODUCT((dataset!$C$2:$C$807=$A391)*dataset!$I$2:$I$807)/SUMPRODUCT((dataset!$C$2:$C$807=$A391)*(dataset!$I$2:$I$807&lt;&gt;"")),"")</f>
        <v/>
      </c>
      <c r="G391" s="3">
        <f>IFERROR(SUMPRODUCT((dataset!$C$2:$C$807=$A391)*dataset!$J$2:$J$807)/SUMPRODUCT((dataset!$C$2:$C$807=$A391)*(dataset!$J$2:$J$807&lt;&gt;"")),"")</f>
        <v/>
      </c>
    </row>
    <row r="392">
      <c r="A392" s="2" t="inlineStr">
        <is>
          <t>Random Number Generator</t>
        </is>
      </c>
      <c r="B392" s="2">
        <f>SUMPRODUCT(--(dataset!$C$2:$C$807=$A392))</f>
        <v/>
      </c>
      <c r="C392" s="3">
        <f>SUMPRODUCT((dataset!$C$2:$C$807=$A392)*dataset!$B$2:$B$807)/B392</f>
        <v/>
      </c>
      <c r="D392" s="2">
        <f>_xlfn.MINIFS(dataset!$B$2:$B$807,dataset!$C$2:$C$807,$A392)</f>
        <v/>
      </c>
      <c r="E392" s="2">
        <f>_xlfn.MAXIFS(dataset!$B$2:$B$807,dataset!$C$2:$C$807,$A392)</f>
        <v/>
      </c>
      <c r="F392" s="3">
        <f>IFERROR(SUMPRODUCT((dataset!$C$2:$C$807=$A392)*dataset!$I$2:$I$807)/SUMPRODUCT((dataset!$C$2:$C$807=$A392)*(dataset!$I$2:$I$807&lt;&gt;"")),"")</f>
        <v/>
      </c>
      <c r="G392" s="3">
        <f>IFERROR(SUMPRODUCT((dataset!$C$2:$C$807=$A392)*dataset!$J$2:$J$807)/SUMPRODUCT((dataset!$C$2:$C$807=$A392)*(dataset!$J$2:$J$807&lt;&gt;"")),"")</f>
        <v/>
      </c>
    </row>
    <row r="393">
      <c r="A393" s="2" t="inlineStr">
        <is>
          <t>Randy Newman</t>
        </is>
      </c>
      <c r="B393" s="2">
        <f>SUMPRODUCT(--(dataset!$C$2:$C$807=$A393))</f>
        <v/>
      </c>
      <c r="C393" s="3">
        <f>SUMPRODUCT((dataset!$C$2:$C$807=$A393)*dataset!$B$2:$B$807)/B393</f>
        <v/>
      </c>
      <c r="D393" s="2">
        <f>_xlfn.MINIFS(dataset!$B$2:$B$807,dataset!$C$2:$C$807,$A393)</f>
        <v/>
      </c>
      <c r="E393" s="2">
        <f>_xlfn.MAXIFS(dataset!$B$2:$B$807,dataset!$C$2:$C$807,$A393)</f>
        <v/>
      </c>
      <c r="F393" s="3">
        <f>IFERROR(SUMPRODUCT((dataset!$C$2:$C$807=$A393)*dataset!$I$2:$I$807)/SUMPRODUCT((dataset!$C$2:$C$807=$A393)*(dataset!$I$2:$I$807&lt;&gt;"")),"")</f>
        <v/>
      </c>
      <c r="G393" s="3">
        <f>IFERROR(SUMPRODUCT((dataset!$C$2:$C$807=$A393)*dataset!$J$2:$J$807)/SUMPRODUCT((dataset!$C$2:$C$807=$A393)*(dataset!$J$2:$J$807&lt;&gt;"")),"")</f>
        <v/>
      </c>
    </row>
    <row r="394">
      <c r="A394" s="2" t="inlineStr">
        <is>
          <t>Raphael Goldstein</t>
        </is>
      </c>
      <c r="B394" s="2">
        <f>SUMPRODUCT(--(dataset!$C$2:$C$807=$A394))</f>
        <v/>
      </c>
      <c r="C394" s="3">
        <f>SUMPRODUCT((dataset!$C$2:$C$807=$A394)*dataset!$B$2:$B$807)/B394</f>
        <v/>
      </c>
      <c r="D394" s="2">
        <f>_xlfn.MINIFS(dataset!$B$2:$B$807,dataset!$C$2:$C$807,$A394)</f>
        <v/>
      </c>
      <c r="E394" s="2">
        <f>_xlfn.MAXIFS(dataset!$B$2:$B$807,dataset!$C$2:$C$807,$A394)</f>
        <v/>
      </c>
      <c r="F394" s="3">
        <f>IFERROR(SUMPRODUCT((dataset!$C$2:$C$807=$A394)*dataset!$I$2:$I$807)/SUMPRODUCT((dataset!$C$2:$C$807=$A394)*(dataset!$I$2:$I$807&lt;&gt;"")),"")</f>
        <v/>
      </c>
      <c r="G394" s="3">
        <f>IFERROR(SUMPRODUCT((dataset!$C$2:$C$807=$A394)*dataset!$J$2:$J$807)/SUMPRODUCT((dataset!$C$2:$C$807=$A394)*(dataset!$J$2:$J$807&lt;&gt;"")),"")</f>
        <v/>
      </c>
    </row>
    <row r="395">
      <c r="A395" s="2" t="inlineStr">
        <is>
          <t>Rich Brian</t>
        </is>
      </c>
      <c r="B395" s="2">
        <f>SUMPRODUCT(--(dataset!$C$2:$C$807=$A395))</f>
        <v/>
      </c>
      <c r="C395" s="3">
        <f>SUMPRODUCT((dataset!$C$2:$C$807=$A395)*dataset!$B$2:$B$807)/B395</f>
        <v/>
      </c>
      <c r="D395" s="2">
        <f>_xlfn.MINIFS(dataset!$B$2:$B$807,dataset!$C$2:$C$807,$A395)</f>
        <v/>
      </c>
      <c r="E395" s="2">
        <f>_xlfn.MAXIFS(dataset!$B$2:$B$807,dataset!$C$2:$C$807,$A395)</f>
        <v/>
      </c>
      <c r="F395" s="3">
        <f>IFERROR(SUMPRODUCT((dataset!$C$2:$C$807=$A395)*dataset!$I$2:$I$807)/SUMPRODUCT((dataset!$C$2:$C$807=$A395)*(dataset!$I$2:$I$807&lt;&gt;"")),"")</f>
        <v/>
      </c>
      <c r="G395" s="3">
        <f>IFERROR(SUMPRODUCT((dataset!$C$2:$C$807=$A395)*dataset!$J$2:$J$807)/SUMPRODUCT((dataset!$C$2:$C$807=$A395)*(dataset!$J$2:$J$807&lt;&gt;"")),"")</f>
        <v/>
      </c>
    </row>
    <row r="396">
      <c r="A396" s="2" t="inlineStr">
        <is>
          <t>Richard Goosman</t>
        </is>
      </c>
      <c r="B396" s="2">
        <f>SUMPRODUCT(--(dataset!$C$2:$C$807=$A396))</f>
        <v/>
      </c>
      <c r="C396" s="3">
        <f>SUMPRODUCT((dataset!$C$2:$C$807=$A396)*dataset!$B$2:$B$807)/B396</f>
        <v/>
      </c>
      <c r="D396" s="2">
        <f>_xlfn.MINIFS(dataset!$B$2:$B$807,dataset!$C$2:$C$807,$A396)</f>
        <v/>
      </c>
      <c r="E396" s="2">
        <f>_xlfn.MAXIFS(dataset!$B$2:$B$807,dataset!$C$2:$C$807,$A396)</f>
        <v/>
      </c>
      <c r="F396" s="3">
        <f>IFERROR(SUMPRODUCT((dataset!$C$2:$C$807=$A396)*dataset!$I$2:$I$807)/SUMPRODUCT((dataset!$C$2:$C$807=$A396)*(dataset!$I$2:$I$807&lt;&gt;"")),"")</f>
        <v/>
      </c>
      <c r="G396" s="3">
        <f>IFERROR(SUMPRODUCT((dataset!$C$2:$C$807=$A396)*dataset!$J$2:$J$807)/SUMPRODUCT((dataset!$C$2:$C$807=$A396)*(dataset!$J$2:$J$807&lt;&gt;"")),"")</f>
        <v/>
      </c>
    </row>
    <row r="397">
      <c r="A397" s="2" t="inlineStr">
        <is>
          <t>Richard Stone</t>
        </is>
      </c>
      <c r="B397" s="2">
        <f>SUMPRODUCT(--(dataset!$C$2:$C$807=$A397))</f>
        <v/>
      </c>
      <c r="C397" s="3">
        <f>SUMPRODUCT((dataset!$C$2:$C$807=$A397)*dataset!$B$2:$B$807)/B397</f>
        <v/>
      </c>
      <c r="D397" s="2">
        <f>_xlfn.MINIFS(dataset!$B$2:$B$807,dataset!$C$2:$C$807,$A397)</f>
        <v/>
      </c>
      <c r="E397" s="2">
        <f>_xlfn.MAXIFS(dataset!$B$2:$B$807,dataset!$C$2:$C$807,$A397)</f>
        <v/>
      </c>
      <c r="F397" s="3">
        <f>IFERROR(SUMPRODUCT((dataset!$C$2:$C$807=$A397)*dataset!$I$2:$I$807)/SUMPRODUCT((dataset!$C$2:$C$807=$A397)*(dataset!$I$2:$I$807&lt;&gt;"")),"")</f>
        <v/>
      </c>
      <c r="G397" s="3">
        <f>IFERROR(SUMPRODUCT((dataset!$C$2:$C$807=$A397)*dataset!$J$2:$J$807)/SUMPRODUCT((dataset!$C$2:$C$807=$A397)*(dataset!$J$2:$J$807&lt;&gt;"")),"")</f>
        <v/>
      </c>
    </row>
    <row r="398">
      <c r="A398" s="2" t="inlineStr">
        <is>
          <t>Robo Ulbricht</t>
        </is>
      </c>
      <c r="B398" s="2">
        <f>SUMPRODUCT(--(dataset!$C$2:$C$807=$A398))</f>
        <v/>
      </c>
      <c r="C398" s="3">
        <f>SUMPRODUCT((dataset!$C$2:$C$807=$A398)*dataset!$B$2:$B$807)/B398</f>
        <v/>
      </c>
      <c r="D398" s="2">
        <f>_xlfn.MINIFS(dataset!$B$2:$B$807,dataset!$C$2:$C$807,$A398)</f>
        <v/>
      </c>
      <c r="E398" s="2">
        <f>_xlfn.MAXIFS(dataset!$B$2:$B$807,dataset!$C$2:$C$807,$A398)</f>
        <v/>
      </c>
      <c r="F398" s="3">
        <f>IFERROR(SUMPRODUCT((dataset!$C$2:$C$807=$A398)*dataset!$I$2:$I$807)/SUMPRODUCT((dataset!$C$2:$C$807=$A398)*(dataset!$I$2:$I$807&lt;&gt;"")),"")</f>
        <v/>
      </c>
      <c r="G398" s="3">
        <f>IFERROR(SUMPRODUCT((dataset!$C$2:$C$807=$A398)*dataset!$J$2:$J$807)/SUMPRODUCT((dataset!$C$2:$C$807=$A398)*(dataset!$J$2:$J$807&lt;&gt;"")),"")</f>
        <v/>
      </c>
    </row>
    <row r="399">
      <c r="A399" s="2" t="inlineStr">
        <is>
          <t>Rodrigo Damasceno</t>
        </is>
      </c>
      <c r="B399" s="2">
        <f>SUMPRODUCT(--(dataset!$C$2:$C$807=$A399))</f>
        <v/>
      </c>
      <c r="C399" s="3">
        <f>SUMPRODUCT((dataset!$C$2:$C$807=$A399)*dataset!$B$2:$B$807)/B399</f>
        <v/>
      </c>
      <c r="D399" s="2">
        <f>_xlfn.MINIFS(dataset!$B$2:$B$807,dataset!$C$2:$C$807,$A399)</f>
        <v/>
      </c>
      <c r="E399" s="2">
        <f>_xlfn.MAXIFS(dataset!$B$2:$B$807,dataset!$C$2:$C$807,$A399)</f>
        <v/>
      </c>
      <c r="F399" s="3">
        <f>IFERROR(SUMPRODUCT((dataset!$C$2:$C$807=$A399)*dataset!$I$2:$I$807)/SUMPRODUCT((dataset!$C$2:$C$807=$A399)*(dataset!$I$2:$I$807&lt;&gt;"")),"")</f>
        <v/>
      </c>
      <c r="G399" s="3">
        <f>IFERROR(SUMPRODUCT((dataset!$C$2:$C$807=$A399)*dataset!$J$2:$J$807)/SUMPRODUCT((dataset!$C$2:$C$807=$A399)*(dataset!$J$2:$J$807&lt;&gt;"")),"")</f>
        <v/>
      </c>
    </row>
    <row r="400">
      <c r="A400" s="2" t="inlineStr">
        <is>
          <t>Ross</t>
        </is>
      </c>
      <c r="B400" s="2">
        <f>SUMPRODUCT(--(dataset!$C$2:$C$807=$A400))</f>
        <v/>
      </c>
      <c r="C400" s="3">
        <f>SUMPRODUCT((dataset!$C$2:$C$807=$A400)*dataset!$B$2:$B$807)/B400</f>
        <v/>
      </c>
      <c r="D400" s="2">
        <f>_xlfn.MINIFS(dataset!$B$2:$B$807,dataset!$C$2:$C$807,$A400)</f>
        <v/>
      </c>
      <c r="E400" s="2">
        <f>_xlfn.MAXIFS(dataset!$B$2:$B$807,dataset!$C$2:$C$807,$A400)</f>
        <v/>
      </c>
      <c r="F400" s="3">
        <f>IFERROR(SUMPRODUCT((dataset!$C$2:$C$807=$A400)*dataset!$I$2:$I$807)/SUMPRODUCT((dataset!$C$2:$C$807=$A400)*(dataset!$I$2:$I$807&lt;&gt;"")),"")</f>
        <v/>
      </c>
      <c r="G400" s="3">
        <f>IFERROR(SUMPRODUCT((dataset!$C$2:$C$807=$A400)*dataset!$J$2:$J$807)/SUMPRODUCT((dataset!$C$2:$C$807=$A400)*(dataset!$J$2:$J$807&lt;&gt;"")),"")</f>
        <v/>
      </c>
    </row>
    <row r="401">
      <c r="A401" s="2" t="inlineStr">
        <is>
          <t>Ross Halkett</t>
        </is>
      </c>
      <c r="B401" s="2">
        <f>SUMPRODUCT(--(dataset!$C$2:$C$807=$A401))</f>
        <v/>
      </c>
      <c r="C401" s="3">
        <f>SUMPRODUCT((dataset!$C$2:$C$807=$A401)*dataset!$B$2:$B$807)/B401</f>
        <v/>
      </c>
      <c r="D401" s="2">
        <f>_xlfn.MINIFS(dataset!$B$2:$B$807,dataset!$C$2:$C$807,$A401)</f>
        <v/>
      </c>
      <c r="E401" s="2">
        <f>_xlfn.MAXIFS(dataset!$B$2:$B$807,dataset!$C$2:$C$807,$A401)</f>
        <v/>
      </c>
      <c r="F401" s="3">
        <f>IFERROR(SUMPRODUCT((dataset!$C$2:$C$807=$A401)*dataset!$I$2:$I$807)/SUMPRODUCT((dataset!$C$2:$C$807=$A401)*(dataset!$I$2:$I$807&lt;&gt;"")),"")</f>
        <v/>
      </c>
      <c r="G401" s="3">
        <f>IFERROR(SUMPRODUCT((dataset!$C$2:$C$807=$A401)*dataset!$J$2:$J$807)/SUMPRODUCT((dataset!$C$2:$C$807=$A401)*(dataset!$J$2:$J$807&lt;&gt;"")),"")</f>
        <v/>
      </c>
    </row>
    <row r="402">
      <c r="A402" s="2" t="inlineStr">
        <is>
          <t>Rube Bloom</t>
        </is>
      </c>
      <c r="B402" s="2">
        <f>SUMPRODUCT(--(dataset!$C$2:$C$807=$A402))</f>
        <v/>
      </c>
      <c r="C402" s="3">
        <f>SUMPRODUCT((dataset!$C$2:$C$807=$A402)*dataset!$B$2:$B$807)/B402</f>
        <v/>
      </c>
      <c r="D402" s="2">
        <f>_xlfn.MINIFS(dataset!$B$2:$B$807,dataset!$C$2:$C$807,$A402)</f>
        <v/>
      </c>
      <c r="E402" s="2">
        <f>_xlfn.MAXIFS(dataset!$B$2:$B$807,dataset!$C$2:$C$807,$A402)</f>
        <v/>
      </c>
      <c r="F402" s="3">
        <f>IFERROR(SUMPRODUCT((dataset!$C$2:$C$807=$A402)*dataset!$I$2:$I$807)/SUMPRODUCT((dataset!$C$2:$C$807=$A402)*(dataset!$I$2:$I$807&lt;&gt;"")),"")</f>
        <v/>
      </c>
      <c r="G402" s="3">
        <f>IFERROR(SUMPRODUCT((dataset!$C$2:$C$807=$A402)*dataset!$J$2:$J$807)/SUMPRODUCT((dataset!$C$2:$C$807=$A402)*(dataset!$J$2:$J$807&lt;&gt;"")),"")</f>
        <v/>
      </c>
    </row>
    <row r="403">
      <c r="A403" s="2" t="inlineStr">
        <is>
          <t>Russell Franck</t>
        </is>
      </c>
      <c r="B403" s="2">
        <f>SUMPRODUCT(--(dataset!$C$2:$C$807=$A403))</f>
        <v/>
      </c>
      <c r="C403" s="3">
        <f>SUMPRODUCT((dataset!$C$2:$C$807=$A403)*dataset!$B$2:$B$807)/B403</f>
        <v/>
      </c>
      <c r="D403" s="2">
        <f>_xlfn.MINIFS(dataset!$B$2:$B$807,dataset!$C$2:$C$807,$A403)</f>
        <v/>
      </c>
      <c r="E403" s="2">
        <f>_xlfn.MAXIFS(dataset!$B$2:$B$807,dataset!$C$2:$C$807,$A403)</f>
        <v/>
      </c>
      <c r="F403" s="3">
        <f>IFERROR(SUMPRODUCT((dataset!$C$2:$C$807=$A403)*dataset!$I$2:$I$807)/SUMPRODUCT((dataset!$C$2:$C$807=$A403)*(dataset!$I$2:$I$807&lt;&gt;"")),"")</f>
        <v/>
      </c>
      <c r="G403" s="3">
        <f>IFERROR(SUMPRODUCT((dataset!$C$2:$C$807=$A403)*dataset!$J$2:$J$807)/SUMPRODUCT((dataset!$C$2:$C$807=$A403)*(dataset!$J$2:$J$807&lt;&gt;"")),"")</f>
        <v/>
      </c>
    </row>
    <row r="404">
      <c r="A404" s="2" t="inlineStr">
        <is>
          <t>Ryan Terry</t>
        </is>
      </c>
      <c r="B404" s="2">
        <f>SUMPRODUCT(--(dataset!$C$2:$C$807=$A404))</f>
        <v/>
      </c>
      <c r="C404" s="3">
        <f>SUMPRODUCT((dataset!$C$2:$C$807=$A404)*dataset!$B$2:$B$807)/B404</f>
        <v/>
      </c>
      <c r="D404" s="2">
        <f>_xlfn.MINIFS(dataset!$B$2:$B$807,dataset!$C$2:$C$807,$A404)</f>
        <v/>
      </c>
      <c r="E404" s="2">
        <f>_xlfn.MAXIFS(dataset!$B$2:$B$807,dataset!$C$2:$C$807,$A404)</f>
        <v/>
      </c>
      <c r="F404" s="3">
        <f>IFERROR(SUMPRODUCT((dataset!$C$2:$C$807=$A404)*dataset!$I$2:$I$807)/SUMPRODUCT((dataset!$C$2:$C$807=$A404)*(dataset!$I$2:$I$807&lt;&gt;"")),"")</f>
        <v/>
      </c>
      <c r="G404" s="3">
        <f>IFERROR(SUMPRODUCT((dataset!$C$2:$C$807=$A404)*dataset!$J$2:$J$807)/SUMPRODUCT((dataset!$C$2:$C$807=$A404)*(dataset!$J$2:$J$807&lt;&gt;"")),"")</f>
        <v/>
      </c>
    </row>
    <row r="405">
      <c r="A405" s="2" t="inlineStr">
        <is>
          <t>Ryo Sakai</t>
        </is>
      </c>
      <c r="B405" s="2">
        <f>SUMPRODUCT(--(dataset!$C$2:$C$807=$A405))</f>
        <v/>
      </c>
      <c r="C405" s="3">
        <f>SUMPRODUCT((dataset!$C$2:$C$807=$A405)*dataset!$B$2:$B$807)/B405</f>
        <v/>
      </c>
      <c r="D405" s="2">
        <f>_xlfn.MINIFS(dataset!$B$2:$B$807,dataset!$C$2:$C$807,$A405)</f>
        <v/>
      </c>
      <c r="E405" s="2">
        <f>_xlfn.MAXIFS(dataset!$B$2:$B$807,dataset!$C$2:$C$807,$A405)</f>
        <v/>
      </c>
      <c r="F405" s="3">
        <f>IFERROR(SUMPRODUCT((dataset!$C$2:$C$807=$A405)*dataset!$I$2:$I$807)/SUMPRODUCT((dataset!$C$2:$C$807=$A405)*(dataset!$I$2:$I$807&lt;&gt;"")),"")</f>
        <v/>
      </c>
      <c r="G405" s="3">
        <f>IFERROR(SUMPRODUCT((dataset!$C$2:$C$807=$A405)*dataset!$J$2:$J$807)/SUMPRODUCT((dataset!$C$2:$C$807=$A405)*(dataset!$J$2:$J$807&lt;&gt;"")),"")</f>
        <v/>
      </c>
    </row>
    <row r="406">
      <c r="A406" s="2" t="inlineStr">
        <is>
          <t>S. Hermand</t>
        </is>
      </c>
      <c r="B406" s="2">
        <f>SUMPRODUCT(--(dataset!$C$2:$C$807=$A406))</f>
        <v/>
      </c>
      <c r="C406" s="3">
        <f>SUMPRODUCT((dataset!$C$2:$C$807=$A406)*dataset!$B$2:$B$807)/B406</f>
        <v/>
      </c>
      <c r="D406" s="2">
        <f>_xlfn.MINIFS(dataset!$B$2:$B$807,dataset!$C$2:$C$807,$A406)</f>
        <v/>
      </c>
      <c r="E406" s="2">
        <f>_xlfn.MAXIFS(dataset!$B$2:$B$807,dataset!$C$2:$C$807,$A406)</f>
        <v/>
      </c>
      <c r="F406" s="3">
        <f>IFERROR(SUMPRODUCT((dataset!$C$2:$C$807=$A406)*dataset!$I$2:$I$807)/SUMPRODUCT((dataset!$C$2:$C$807=$A406)*(dataset!$I$2:$I$807&lt;&gt;"")),"")</f>
        <v/>
      </c>
      <c r="G406" s="3">
        <f>IFERROR(SUMPRODUCT((dataset!$C$2:$C$807=$A406)*dataset!$J$2:$J$807)/SUMPRODUCT((dataset!$C$2:$C$807=$A406)*(dataset!$J$2:$J$807&lt;&gt;"")),"")</f>
        <v/>
      </c>
    </row>
    <row r="407">
      <c r="A407" s="2" t="inlineStr">
        <is>
          <t>S. M. Kudlo</t>
        </is>
      </c>
      <c r="B407" s="2">
        <f>SUMPRODUCT(--(dataset!$C$2:$C$807=$A407))</f>
        <v/>
      </c>
      <c r="C407" s="3">
        <f>SUMPRODUCT((dataset!$C$2:$C$807=$A407)*dataset!$B$2:$B$807)/B407</f>
        <v/>
      </c>
      <c r="D407" s="2">
        <f>_xlfn.MINIFS(dataset!$B$2:$B$807,dataset!$C$2:$C$807,$A407)</f>
        <v/>
      </c>
      <c r="E407" s="2">
        <f>_xlfn.MAXIFS(dataset!$B$2:$B$807,dataset!$C$2:$C$807,$A407)</f>
        <v/>
      </c>
      <c r="F407" s="3">
        <f>IFERROR(SUMPRODUCT((dataset!$C$2:$C$807=$A407)*dataset!$I$2:$I$807)/SUMPRODUCT((dataset!$C$2:$C$807=$A407)*(dataset!$I$2:$I$807&lt;&gt;"")),"")</f>
        <v/>
      </c>
      <c r="G407" s="3">
        <f>IFERROR(SUMPRODUCT((dataset!$C$2:$C$807=$A407)*dataset!$J$2:$J$807)/SUMPRODUCT((dataset!$C$2:$C$807=$A407)*(dataset!$J$2:$J$807&lt;&gt;"")),"")</f>
        <v/>
      </c>
    </row>
    <row r="408">
      <c r="A408" s="2" t="inlineStr">
        <is>
          <t>Sam Hulick</t>
        </is>
      </c>
      <c r="B408" s="2">
        <f>SUMPRODUCT(--(dataset!$C$2:$C$807=$A408))</f>
        <v/>
      </c>
      <c r="C408" s="3">
        <f>SUMPRODUCT((dataset!$C$2:$C$807=$A408)*dataset!$B$2:$B$807)/B408</f>
        <v/>
      </c>
      <c r="D408" s="2">
        <f>_xlfn.MINIFS(dataset!$B$2:$B$807,dataset!$C$2:$C$807,$A408)</f>
        <v/>
      </c>
      <c r="E408" s="2">
        <f>_xlfn.MAXIFS(dataset!$B$2:$B$807,dataset!$C$2:$C$807,$A408)</f>
        <v/>
      </c>
      <c r="F408" s="3">
        <f>IFERROR(SUMPRODUCT((dataset!$C$2:$C$807=$A408)*dataset!$I$2:$I$807)/SUMPRODUCT((dataset!$C$2:$C$807=$A408)*(dataset!$I$2:$I$807&lt;&gt;"")),"")</f>
        <v/>
      </c>
      <c r="G408" s="3">
        <f>IFERROR(SUMPRODUCT((dataset!$C$2:$C$807=$A408)*dataset!$J$2:$J$807)/SUMPRODUCT((dataset!$C$2:$C$807=$A408)*(dataset!$J$2:$J$807&lt;&gt;"")),"")</f>
        <v/>
      </c>
    </row>
    <row r="409">
      <c r="A409" s="2" t="inlineStr">
        <is>
          <t>Sam Richards</t>
        </is>
      </c>
      <c r="B409" s="2">
        <f>SUMPRODUCT(--(dataset!$C$2:$C$807=$A409))</f>
        <v/>
      </c>
      <c r="C409" s="3">
        <f>SUMPRODUCT((dataset!$C$2:$C$807=$A409)*dataset!$B$2:$B$807)/B409</f>
        <v/>
      </c>
      <c r="D409" s="2">
        <f>_xlfn.MINIFS(dataset!$B$2:$B$807,dataset!$C$2:$C$807,$A409)</f>
        <v/>
      </c>
      <c r="E409" s="2">
        <f>_xlfn.MAXIFS(dataset!$B$2:$B$807,dataset!$C$2:$C$807,$A409)</f>
        <v/>
      </c>
      <c r="F409" s="3">
        <f>IFERROR(SUMPRODUCT((dataset!$C$2:$C$807=$A409)*dataset!$I$2:$I$807)/SUMPRODUCT((dataset!$C$2:$C$807=$A409)*(dataset!$I$2:$I$807&lt;&gt;"")),"")</f>
        <v/>
      </c>
      <c r="G409" s="3">
        <f>IFERROR(SUMPRODUCT((dataset!$C$2:$C$807=$A409)*dataset!$J$2:$J$807)/SUMPRODUCT((dataset!$C$2:$C$807=$A409)*(dataset!$J$2:$J$807&lt;&gt;"")),"")</f>
        <v/>
      </c>
    </row>
    <row r="410">
      <c r="A410" s="2" t="inlineStr">
        <is>
          <t>Scott Joplin &amp; Arthur Marshall</t>
        </is>
      </c>
      <c r="B410" s="2">
        <f>SUMPRODUCT(--(dataset!$C$2:$C$807=$A410))</f>
        <v/>
      </c>
      <c r="C410" s="3">
        <f>SUMPRODUCT((dataset!$C$2:$C$807=$A410)*dataset!$B$2:$B$807)/B410</f>
        <v/>
      </c>
      <c r="D410" s="2">
        <f>_xlfn.MINIFS(dataset!$B$2:$B$807,dataset!$C$2:$C$807,$A410)</f>
        <v/>
      </c>
      <c r="E410" s="2">
        <f>_xlfn.MAXIFS(dataset!$B$2:$B$807,dataset!$C$2:$C$807,$A410)</f>
        <v/>
      </c>
      <c r="F410" s="3">
        <f>IFERROR(SUMPRODUCT((dataset!$C$2:$C$807=$A410)*dataset!$I$2:$I$807)/SUMPRODUCT((dataset!$C$2:$C$807=$A410)*(dataset!$I$2:$I$807&lt;&gt;"")),"")</f>
        <v/>
      </c>
      <c r="G410" s="3">
        <f>IFERROR(SUMPRODUCT((dataset!$C$2:$C$807=$A410)*dataset!$J$2:$J$807)/SUMPRODUCT((dataset!$C$2:$C$807=$A410)*(dataset!$J$2:$J$807&lt;&gt;"")),"")</f>
        <v/>
      </c>
    </row>
    <row r="411">
      <c r="A411" s="2" t="inlineStr">
        <is>
          <t>Scotty McClure</t>
        </is>
      </c>
      <c r="B411" s="2">
        <f>SUMPRODUCT(--(dataset!$C$2:$C$807=$A411))</f>
        <v/>
      </c>
      <c r="C411" s="3">
        <f>SUMPRODUCT((dataset!$C$2:$C$807=$A411)*dataset!$B$2:$B$807)/B411</f>
        <v/>
      </c>
      <c r="D411" s="2">
        <f>_xlfn.MINIFS(dataset!$B$2:$B$807,dataset!$C$2:$C$807,$A411)</f>
        <v/>
      </c>
      <c r="E411" s="2">
        <f>_xlfn.MAXIFS(dataset!$B$2:$B$807,dataset!$C$2:$C$807,$A411)</f>
        <v/>
      </c>
      <c r="F411" s="3">
        <f>IFERROR(SUMPRODUCT((dataset!$C$2:$C$807=$A411)*dataset!$I$2:$I$807)/SUMPRODUCT((dataset!$C$2:$C$807=$A411)*(dataset!$I$2:$I$807&lt;&gt;"")),"")</f>
        <v/>
      </c>
      <c r="G411" s="3">
        <f>IFERROR(SUMPRODUCT((dataset!$C$2:$C$807=$A411)*dataset!$J$2:$J$807)/SUMPRODUCT((dataset!$C$2:$C$807=$A411)*(dataset!$J$2:$J$807&lt;&gt;"")),"")</f>
        <v/>
      </c>
    </row>
    <row r="412">
      <c r="A412" s="2" t="inlineStr">
        <is>
          <t>Sebastian Lutz</t>
        </is>
      </c>
      <c r="B412" s="2">
        <f>SUMPRODUCT(--(dataset!$C$2:$C$807=$A412))</f>
        <v/>
      </c>
      <c r="C412" s="3">
        <f>SUMPRODUCT((dataset!$C$2:$C$807=$A412)*dataset!$B$2:$B$807)/B412</f>
        <v/>
      </c>
      <c r="D412" s="2">
        <f>_xlfn.MINIFS(dataset!$B$2:$B$807,dataset!$C$2:$C$807,$A412)</f>
        <v/>
      </c>
      <c r="E412" s="2">
        <f>_xlfn.MAXIFS(dataset!$B$2:$B$807,dataset!$C$2:$C$807,$A412)</f>
        <v/>
      </c>
      <c r="F412" s="3">
        <f>IFERROR(SUMPRODUCT((dataset!$C$2:$C$807=$A412)*dataset!$I$2:$I$807)/SUMPRODUCT((dataset!$C$2:$C$807=$A412)*(dataset!$I$2:$I$807&lt;&gt;"")),"")</f>
        <v/>
      </c>
      <c r="G412" s="3">
        <f>IFERROR(SUMPRODUCT((dataset!$C$2:$C$807=$A412)*dataset!$J$2:$J$807)/SUMPRODUCT((dataset!$C$2:$C$807=$A412)*(dataset!$J$2:$J$807&lt;&gt;"")),"")</f>
        <v/>
      </c>
    </row>
    <row r="413">
      <c r="A413" s="2" t="inlineStr">
        <is>
          <t>Sergei Bortkiewicz</t>
        </is>
      </c>
      <c r="B413" s="2">
        <f>SUMPRODUCT(--(dataset!$C$2:$C$807=$A413))</f>
        <v/>
      </c>
      <c r="C413" s="3">
        <f>SUMPRODUCT((dataset!$C$2:$C$807=$A413)*dataset!$B$2:$B$807)/B413</f>
        <v/>
      </c>
      <c r="D413" s="2">
        <f>_xlfn.MINIFS(dataset!$B$2:$B$807,dataset!$C$2:$C$807,$A413)</f>
        <v/>
      </c>
      <c r="E413" s="2">
        <f>_xlfn.MAXIFS(dataset!$B$2:$B$807,dataset!$C$2:$C$807,$A413)</f>
        <v/>
      </c>
      <c r="F413" s="3">
        <f>IFERROR(SUMPRODUCT((dataset!$C$2:$C$807=$A413)*dataset!$I$2:$I$807)/SUMPRODUCT((dataset!$C$2:$C$807=$A413)*(dataset!$I$2:$I$807&lt;&gt;"")),"")</f>
        <v/>
      </c>
      <c r="G413" s="3">
        <f>IFERROR(SUMPRODUCT((dataset!$C$2:$C$807=$A413)*dataset!$J$2:$J$807)/SUMPRODUCT((dataset!$C$2:$C$807=$A413)*(dataset!$J$2:$J$807&lt;&gt;"")),"")</f>
        <v/>
      </c>
    </row>
    <row r="414">
      <c r="A414" s="2" t="inlineStr">
        <is>
          <t>Sergei Lyapunov</t>
        </is>
      </c>
      <c r="B414" s="2">
        <f>SUMPRODUCT(--(dataset!$C$2:$C$807=$A414))</f>
        <v/>
      </c>
      <c r="C414" s="3">
        <f>SUMPRODUCT((dataset!$C$2:$C$807=$A414)*dataset!$B$2:$B$807)/B414</f>
        <v/>
      </c>
      <c r="D414" s="2">
        <f>_xlfn.MINIFS(dataset!$B$2:$B$807,dataset!$C$2:$C$807,$A414)</f>
        <v/>
      </c>
      <c r="E414" s="2">
        <f>_xlfn.MAXIFS(dataset!$B$2:$B$807,dataset!$C$2:$C$807,$A414)</f>
        <v/>
      </c>
      <c r="F414" s="3">
        <f>IFERROR(SUMPRODUCT((dataset!$C$2:$C$807=$A414)*dataset!$I$2:$I$807)/SUMPRODUCT((dataset!$C$2:$C$807=$A414)*(dataset!$I$2:$I$807&lt;&gt;"")),"")</f>
        <v/>
      </c>
      <c r="G414" s="3">
        <f>IFERROR(SUMPRODUCT((dataset!$C$2:$C$807=$A414)*dataset!$J$2:$J$807)/SUMPRODUCT((dataset!$C$2:$C$807=$A414)*(dataset!$J$2:$J$807&lt;&gt;"")),"")</f>
        <v/>
      </c>
    </row>
    <row r="415">
      <c r="A415" s="2" t="inlineStr">
        <is>
          <t>Sergio Ortega</t>
        </is>
      </c>
      <c r="B415" s="2">
        <f>SUMPRODUCT(--(dataset!$C$2:$C$807=$A415))</f>
        <v/>
      </c>
      <c r="C415" s="3">
        <f>SUMPRODUCT((dataset!$C$2:$C$807=$A415)*dataset!$B$2:$B$807)/B415</f>
        <v/>
      </c>
      <c r="D415" s="2">
        <f>_xlfn.MINIFS(dataset!$B$2:$B$807,dataset!$C$2:$C$807,$A415)</f>
        <v/>
      </c>
      <c r="E415" s="2">
        <f>_xlfn.MAXIFS(dataset!$B$2:$B$807,dataset!$C$2:$C$807,$A415)</f>
        <v/>
      </c>
      <c r="F415" s="3">
        <f>IFERROR(SUMPRODUCT((dataset!$C$2:$C$807=$A415)*dataset!$I$2:$I$807)/SUMPRODUCT((dataset!$C$2:$C$807=$A415)*(dataset!$I$2:$I$807&lt;&gt;"")),"")</f>
        <v/>
      </c>
      <c r="G415" s="3">
        <f>IFERROR(SUMPRODUCT((dataset!$C$2:$C$807=$A415)*dataset!$J$2:$J$807)/SUMPRODUCT((dataset!$C$2:$C$807=$A415)*(dataset!$J$2:$J$807&lt;&gt;"")),"")</f>
        <v/>
      </c>
    </row>
    <row r="416">
      <c r="A416" s="2" t="inlineStr">
        <is>
          <t>Serikawa</t>
        </is>
      </c>
      <c r="B416" s="2">
        <f>SUMPRODUCT(--(dataset!$C$2:$C$807=$A416))</f>
        <v/>
      </c>
      <c r="C416" s="3">
        <f>SUMPRODUCT((dataset!$C$2:$C$807=$A416)*dataset!$B$2:$B$807)/B416</f>
        <v/>
      </c>
      <c r="D416" s="2">
        <f>_xlfn.MINIFS(dataset!$B$2:$B$807,dataset!$C$2:$C$807,$A416)</f>
        <v/>
      </c>
      <c r="E416" s="2">
        <f>_xlfn.MAXIFS(dataset!$B$2:$B$807,dataset!$C$2:$C$807,$A416)</f>
        <v/>
      </c>
      <c r="F416" s="3">
        <f>IFERROR(SUMPRODUCT((dataset!$C$2:$C$807=$A416)*dataset!$I$2:$I$807)/SUMPRODUCT((dataset!$C$2:$C$807=$A416)*(dataset!$I$2:$I$807&lt;&gt;"")),"")</f>
        <v/>
      </c>
      <c r="G416" s="3">
        <f>IFERROR(SUMPRODUCT((dataset!$C$2:$C$807=$A416)*dataset!$J$2:$J$807)/SUMPRODUCT((dataset!$C$2:$C$807=$A416)*(dataset!$J$2:$J$807&lt;&gt;"")),"")</f>
        <v/>
      </c>
    </row>
    <row r="417">
      <c r="A417" s="2" t="inlineStr">
        <is>
          <t>Seymour Smith</t>
        </is>
      </c>
      <c r="B417" s="2">
        <f>SUMPRODUCT(--(dataset!$C$2:$C$807=$A417))</f>
        <v/>
      </c>
      <c r="C417" s="3">
        <f>SUMPRODUCT((dataset!$C$2:$C$807=$A417)*dataset!$B$2:$B$807)/B417</f>
        <v/>
      </c>
      <c r="D417" s="2">
        <f>_xlfn.MINIFS(dataset!$B$2:$B$807,dataset!$C$2:$C$807,$A417)</f>
        <v/>
      </c>
      <c r="E417" s="2">
        <f>_xlfn.MAXIFS(dataset!$B$2:$B$807,dataset!$C$2:$C$807,$A417)</f>
        <v/>
      </c>
      <c r="F417" s="3">
        <f>IFERROR(SUMPRODUCT((dataset!$C$2:$C$807=$A417)*dataset!$I$2:$I$807)/SUMPRODUCT((dataset!$C$2:$C$807=$A417)*(dataset!$I$2:$I$807&lt;&gt;"")),"")</f>
        <v/>
      </c>
      <c r="G417" s="3">
        <f>IFERROR(SUMPRODUCT((dataset!$C$2:$C$807=$A417)*dataset!$J$2:$J$807)/SUMPRODUCT((dataset!$C$2:$C$807=$A417)*(dataset!$J$2:$J$807&lt;&gt;"")),"")</f>
        <v/>
      </c>
    </row>
    <row r="418">
      <c r="A418" s="2" t="inlineStr">
        <is>
          <t>Shan Lee Rowe</t>
        </is>
      </c>
      <c r="B418" s="2">
        <f>SUMPRODUCT(--(dataset!$C$2:$C$807=$A418))</f>
        <v/>
      </c>
      <c r="C418" s="3">
        <f>SUMPRODUCT((dataset!$C$2:$C$807=$A418)*dataset!$B$2:$B$807)/B418</f>
        <v/>
      </c>
      <c r="D418" s="2">
        <f>_xlfn.MINIFS(dataset!$B$2:$B$807,dataset!$C$2:$C$807,$A418)</f>
        <v/>
      </c>
      <c r="E418" s="2">
        <f>_xlfn.MAXIFS(dataset!$B$2:$B$807,dataset!$C$2:$C$807,$A418)</f>
        <v/>
      </c>
      <c r="F418" s="3">
        <f>IFERROR(SUMPRODUCT((dataset!$C$2:$C$807=$A418)*dataset!$I$2:$I$807)/SUMPRODUCT((dataset!$C$2:$C$807=$A418)*(dataset!$I$2:$I$807&lt;&gt;"")),"")</f>
        <v/>
      </c>
      <c r="G418" s="3">
        <f>IFERROR(SUMPRODUCT((dataset!$C$2:$C$807=$A418)*dataset!$J$2:$J$807)/SUMPRODUCT((dataset!$C$2:$C$807=$A418)*(dataset!$J$2:$J$807&lt;&gt;"")),"")</f>
        <v/>
      </c>
    </row>
    <row r="419">
      <c r="A419" s="2" t="inlineStr">
        <is>
          <t>Shim Hyeon-jeong, Lee Ji-soo &amp; Choi Seung-hyun</t>
        </is>
      </c>
      <c r="B419" s="2">
        <f>SUMPRODUCT(--(dataset!$C$2:$C$807=$A419))</f>
        <v/>
      </c>
      <c r="C419" s="3">
        <f>SUMPRODUCT((dataset!$C$2:$C$807=$A419)*dataset!$B$2:$B$807)/B419</f>
        <v/>
      </c>
      <c r="D419" s="2">
        <f>_xlfn.MINIFS(dataset!$B$2:$B$807,dataset!$C$2:$C$807,$A419)</f>
        <v/>
      </c>
      <c r="E419" s="2">
        <f>_xlfn.MAXIFS(dataset!$B$2:$B$807,dataset!$C$2:$C$807,$A419)</f>
        <v/>
      </c>
      <c r="F419" s="3">
        <f>IFERROR(SUMPRODUCT((dataset!$C$2:$C$807=$A419)*dataset!$I$2:$I$807)/SUMPRODUCT((dataset!$C$2:$C$807=$A419)*(dataset!$I$2:$I$807&lt;&gt;"")),"")</f>
        <v/>
      </c>
      <c r="G419" s="3">
        <f>IFERROR(SUMPRODUCT((dataset!$C$2:$C$807=$A419)*dataset!$J$2:$J$807)/SUMPRODUCT((dataset!$C$2:$C$807=$A419)*(dataset!$J$2:$J$807&lt;&gt;"")),"")</f>
        <v/>
      </c>
    </row>
    <row r="420">
      <c r="A420" s="2" t="inlineStr">
        <is>
          <t>Shirokoi</t>
        </is>
      </c>
      <c r="B420" s="2">
        <f>SUMPRODUCT(--(dataset!$C$2:$C$807=$A420))</f>
        <v/>
      </c>
      <c r="C420" s="3">
        <f>SUMPRODUCT((dataset!$C$2:$C$807=$A420)*dataset!$B$2:$B$807)/B420</f>
        <v/>
      </c>
      <c r="D420" s="2">
        <f>_xlfn.MINIFS(dataset!$B$2:$B$807,dataset!$C$2:$C$807,$A420)</f>
        <v/>
      </c>
      <c r="E420" s="2">
        <f>_xlfn.MAXIFS(dataset!$B$2:$B$807,dataset!$C$2:$C$807,$A420)</f>
        <v/>
      </c>
      <c r="F420" s="3">
        <f>IFERROR(SUMPRODUCT((dataset!$C$2:$C$807=$A420)*dataset!$I$2:$I$807)/SUMPRODUCT((dataset!$C$2:$C$807=$A420)*(dataset!$I$2:$I$807&lt;&gt;"")),"")</f>
        <v/>
      </c>
      <c r="G420" s="3">
        <f>IFERROR(SUMPRODUCT((dataset!$C$2:$C$807=$A420)*dataset!$J$2:$J$807)/SUMPRODUCT((dataset!$C$2:$C$807=$A420)*(dataset!$J$2:$J$807&lt;&gt;"")),"")</f>
        <v/>
      </c>
    </row>
    <row r="421">
      <c r="A421" s="2" t="inlineStr">
        <is>
          <t>Shirō Hamaguchi &amp; Kōhei Tanaka</t>
        </is>
      </c>
      <c r="B421" s="2">
        <f>SUMPRODUCT(--(dataset!$C$2:$C$807=$A421))</f>
        <v/>
      </c>
      <c r="C421" s="3">
        <f>SUMPRODUCT((dataset!$C$2:$C$807=$A421)*dataset!$B$2:$B$807)/B421</f>
        <v/>
      </c>
      <c r="D421" s="2">
        <f>_xlfn.MINIFS(dataset!$B$2:$B$807,dataset!$C$2:$C$807,$A421)</f>
        <v/>
      </c>
      <c r="E421" s="2">
        <f>_xlfn.MAXIFS(dataset!$B$2:$B$807,dataset!$C$2:$C$807,$A421)</f>
        <v/>
      </c>
      <c r="F421" s="3">
        <f>IFERROR(SUMPRODUCT((dataset!$C$2:$C$807=$A421)*dataset!$I$2:$I$807)/SUMPRODUCT((dataset!$C$2:$C$807=$A421)*(dataset!$I$2:$I$807&lt;&gt;"")),"")</f>
        <v/>
      </c>
      <c r="G421" s="3">
        <f>IFERROR(SUMPRODUCT((dataset!$C$2:$C$807=$A421)*dataset!$J$2:$J$807)/SUMPRODUCT((dataset!$C$2:$C$807=$A421)*(dataset!$J$2:$J$807&lt;&gt;"")),"")</f>
        <v/>
      </c>
    </row>
    <row r="422">
      <c r="A422" s="2" t="inlineStr">
        <is>
          <t>Shuka Saito</t>
        </is>
      </c>
      <c r="B422" s="2">
        <f>SUMPRODUCT(--(dataset!$C$2:$C$807=$A422))</f>
        <v/>
      </c>
      <c r="C422" s="3">
        <f>SUMPRODUCT((dataset!$C$2:$C$807=$A422)*dataset!$B$2:$B$807)/B422</f>
        <v/>
      </c>
      <c r="D422" s="2">
        <f>_xlfn.MINIFS(dataset!$B$2:$B$807,dataset!$C$2:$C$807,$A422)</f>
        <v/>
      </c>
      <c r="E422" s="2">
        <f>_xlfn.MAXIFS(dataset!$B$2:$B$807,dataset!$C$2:$C$807,$A422)</f>
        <v/>
      </c>
      <c r="F422" s="3">
        <f>IFERROR(SUMPRODUCT((dataset!$C$2:$C$807=$A422)*dataset!$I$2:$I$807)/SUMPRODUCT((dataset!$C$2:$C$807=$A422)*(dataset!$I$2:$I$807&lt;&gt;"")),"")</f>
        <v/>
      </c>
      <c r="G422" s="3">
        <f>IFERROR(SUMPRODUCT((dataset!$C$2:$C$807=$A422)*dataset!$J$2:$J$807)/SUMPRODUCT((dataset!$C$2:$C$807=$A422)*(dataset!$J$2:$J$807&lt;&gt;"")),"")</f>
        <v/>
      </c>
    </row>
    <row r="423">
      <c r="A423" s="2" t="inlineStr">
        <is>
          <t>Shunsuke Kikuchi</t>
        </is>
      </c>
      <c r="B423" s="2">
        <f>SUMPRODUCT(--(dataset!$C$2:$C$807=$A423))</f>
        <v/>
      </c>
      <c r="C423" s="3">
        <f>SUMPRODUCT((dataset!$C$2:$C$807=$A423)*dataset!$B$2:$B$807)/B423</f>
        <v/>
      </c>
      <c r="D423" s="2">
        <f>_xlfn.MINIFS(dataset!$B$2:$B$807,dataset!$C$2:$C$807,$A423)</f>
        <v/>
      </c>
      <c r="E423" s="2">
        <f>_xlfn.MAXIFS(dataset!$B$2:$B$807,dataset!$C$2:$C$807,$A423)</f>
        <v/>
      </c>
      <c r="F423" s="3">
        <f>IFERROR(SUMPRODUCT((dataset!$C$2:$C$807=$A423)*dataset!$I$2:$I$807)/SUMPRODUCT((dataset!$C$2:$C$807=$A423)*(dataset!$I$2:$I$807&lt;&gt;"")),"")</f>
        <v/>
      </c>
      <c r="G423" s="3">
        <f>IFERROR(SUMPRODUCT((dataset!$C$2:$C$807=$A423)*dataset!$J$2:$J$807)/SUMPRODUCT((dataset!$C$2:$C$807=$A423)*(dataset!$J$2:$J$807&lt;&gt;"")),"")</f>
        <v/>
      </c>
    </row>
    <row r="424">
      <c r="A424" s="2" t="inlineStr">
        <is>
          <t>Sid Sriram</t>
        </is>
      </c>
      <c r="B424" s="2">
        <f>SUMPRODUCT(--(dataset!$C$2:$C$807=$A424))</f>
        <v/>
      </c>
      <c r="C424" s="3">
        <f>SUMPRODUCT((dataset!$C$2:$C$807=$A424)*dataset!$B$2:$B$807)/B424</f>
        <v/>
      </c>
      <c r="D424" s="2">
        <f>_xlfn.MINIFS(dataset!$B$2:$B$807,dataset!$C$2:$C$807,$A424)</f>
        <v/>
      </c>
      <c r="E424" s="2">
        <f>_xlfn.MAXIFS(dataset!$B$2:$B$807,dataset!$C$2:$C$807,$A424)</f>
        <v/>
      </c>
      <c r="F424" s="3">
        <f>IFERROR(SUMPRODUCT((dataset!$C$2:$C$807=$A424)*dataset!$I$2:$I$807)/SUMPRODUCT((dataset!$C$2:$C$807=$A424)*(dataset!$I$2:$I$807&lt;&gt;"")),"")</f>
        <v/>
      </c>
      <c r="G424" s="3">
        <f>IFERROR(SUMPRODUCT((dataset!$C$2:$C$807=$A424)*dataset!$J$2:$J$807)/SUMPRODUCT((dataset!$C$2:$C$807=$A424)*(dataset!$J$2:$J$807&lt;&gt;"")),"")</f>
        <v/>
      </c>
    </row>
    <row r="425">
      <c r="A425" s="2" t="inlineStr">
        <is>
          <t>Sigismond Thalberg</t>
        </is>
      </c>
      <c r="B425" s="2">
        <f>SUMPRODUCT(--(dataset!$C$2:$C$807=$A425))</f>
        <v/>
      </c>
      <c r="C425" s="3">
        <f>SUMPRODUCT((dataset!$C$2:$C$807=$A425)*dataset!$B$2:$B$807)/B425</f>
        <v/>
      </c>
      <c r="D425" s="2">
        <f>_xlfn.MINIFS(dataset!$B$2:$B$807,dataset!$C$2:$C$807,$A425)</f>
        <v/>
      </c>
      <c r="E425" s="2">
        <f>_xlfn.MAXIFS(dataset!$B$2:$B$807,dataset!$C$2:$C$807,$A425)</f>
        <v/>
      </c>
      <c r="F425" s="3">
        <f>IFERROR(SUMPRODUCT((dataset!$C$2:$C$807=$A425)*dataset!$I$2:$I$807)/SUMPRODUCT((dataset!$C$2:$C$807=$A425)*(dataset!$I$2:$I$807&lt;&gt;"")),"")</f>
        <v/>
      </c>
      <c r="G425" s="3">
        <f>IFERROR(SUMPRODUCT((dataset!$C$2:$C$807=$A425)*dataset!$J$2:$J$807)/SUMPRODUCT((dataset!$C$2:$C$807=$A425)*(dataset!$J$2:$J$807&lt;&gt;"")),"")</f>
        <v/>
      </c>
    </row>
    <row r="426">
      <c r="A426" s="2" t="inlineStr">
        <is>
          <t>Simon Wetton</t>
        </is>
      </c>
      <c r="B426" s="2">
        <f>SUMPRODUCT(--(dataset!$C$2:$C$807=$A426))</f>
        <v/>
      </c>
      <c r="C426" s="3">
        <f>SUMPRODUCT((dataset!$C$2:$C$807=$A426)*dataset!$B$2:$B$807)/B426</f>
        <v/>
      </c>
      <c r="D426" s="2">
        <f>_xlfn.MINIFS(dataset!$B$2:$B$807,dataset!$C$2:$C$807,$A426)</f>
        <v/>
      </c>
      <c r="E426" s="2">
        <f>_xlfn.MAXIFS(dataset!$B$2:$B$807,dataset!$C$2:$C$807,$A426)</f>
        <v/>
      </c>
      <c r="F426" s="3">
        <f>IFERROR(SUMPRODUCT((dataset!$C$2:$C$807=$A426)*dataset!$I$2:$I$807)/SUMPRODUCT((dataset!$C$2:$C$807=$A426)*(dataset!$I$2:$I$807&lt;&gt;"")),"")</f>
        <v/>
      </c>
      <c r="G426" s="3">
        <f>IFERROR(SUMPRODUCT((dataset!$C$2:$C$807=$A426)*dataset!$J$2:$J$807)/SUMPRODUCT((dataset!$C$2:$C$807=$A426)*(dataset!$J$2:$J$807&lt;&gt;"")),"")</f>
        <v/>
      </c>
    </row>
    <row r="427">
      <c r="A427" s="2" t="inlineStr">
        <is>
          <t>Sonya Belousova &amp; Giona Ostinelli</t>
        </is>
      </c>
      <c r="B427" s="2">
        <f>SUMPRODUCT(--(dataset!$C$2:$C$807=$A427))</f>
        <v/>
      </c>
      <c r="C427" s="3">
        <f>SUMPRODUCT((dataset!$C$2:$C$807=$A427)*dataset!$B$2:$B$807)/B427</f>
        <v/>
      </c>
      <c r="D427" s="2">
        <f>_xlfn.MINIFS(dataset!$B$2:$B$807,dataset!$C$2:$C$807,$A427)</f>
        <v/>
      </c>
      <c r="E427" s="2">
        <f>_xlfn.MAXIFS(dataset!$B$2:$B$807,dataset!$C$2:$C$807,$A427)</f>
        <v/>
      </c>
      <c r="F427" s="3">
        <f>IFERROR(SUMPRODUCT((dataset!$C$2:$C$807=$A427)*dataset!$I$2:$I$807)/SUMPRODUCT((dataset!$C$2:$C$807=$A427)*(dataset!$I$2:$I$807&lt;&gt;"")),"")</f>
        <v/>
      </c>
      <c r="G427" s="3">
        <f>IFERROR(SUMPRODUCT((dataset!$C$2:$C$807=$A427)*dataset!$J$2:$J$807)/SUMPRODUCT((dataset!$C$2:$C$807=$A427)*(dataset!$J$2:$J$807&lt;&gt;"")),"")</f>
        <v/>
      </c>
    </row>
    <row r="428">
      <c r="A428" s="2" t="inlineStr">
        <is>
          <t>Stanisław Warduliński</t>
        </is>
      </c>
      <c r="B428" s="2">
        <f>SUMPRODUCT(--(dataset!$C$2:$C$807=$A428))</f>
        <v/>
      </c>
      <c r="C428" s="3">
        <f>SUMPRODUCT((dataset!$C$2:$C$807=$A428)*dataset!$B$2:$B$807)/B428</f>
        <v/>
      </c>
      <c r="D428" s="2">
        <f>_xlfn.MINIFS(dataset!$B$2:$B$807,dataset!$C$2:$C$807,$A428)</f>
        <v/>
      </c>
      <c r="E428" s="2">
        <f>_xlfn.MAXIFS(dataset!$B$2:$B$807,dataset!$C$2:$C$807,$A428)</f>
        <v/>
      </c>
      <c r="F428" s="3">
        <f>IFERROR(SUMPRODUCT((dataset!$C$2:$C$807=$A428)*dataset!$I$2:$I$807)/SUMPRODUCT((dataset!$C$2:$C$807=$A428)*(dataset!$I$2:$I$807&lt;&gt;"")),"")</f>
        <v/>
      </c>
      <c r="G428" s="3">
        <f>IFERROR(SUMPRODUCT((dataset!$C$2:$C$807=$A428)*dataset!$J$2:$J$807)/SUMPRODUCT((dataset!$C$2:$C$807=$A428)*(dataset!$J$2:$J$807&lt;&gt;"")),"")</f>
        <v/>
      </c>
    </row>
    <row r="429">
      <c r="A429" s="2" t="inlineStr">
        <is>
          <t>Stephen Foster</t>
        </is>
      </c>
      <c r="B429" s="2">
        <f>SUMPRODUCT(--(dataset!$C$2:$C$807=$A429))</f>
        <v/>
      </c>
      <c r="C429" s="3">
        <f>SUMPRODUCT((dataset!$C$2:$C$807=$A429)*dataset!$B$2:$B$807)/B429</f>
        <v/>
      </c>
      <c r="D429" s="2">
        <f>_xlfn.MINIFS(dataset!$B$2:$B$807,dataset!$C$2:$C$807,$A429)</f>
        <v/>
      </c>
      <c r="E429" s="2">
        <f>_xlfn.MAXIFS(dataset!$B$2:$B$807,dataset!$C$2:$C$807,$A429)</f>
        <v/>
      </c>
      <c r="F429" s="3">
        <f>IFERROR(SUMPRODUCT((dataset!$C$2:$C$807=$A429)*dataset!$I$2:$I$807)/SUMPRODUCT((dataset!$C$2:$C$807=$A429)*(dataset!$I$2:$I$807&lt;&gt;"")),"")</f>
        <v/>
      </c>
      <c r="G429" s="3">
        <f>IFERROR(SUMPRODUCT((dataset!$C$2:$C$807=$A429)*dataset!$J$2:$J$807)/SUMPRODUCT((dataset!$C$2:$C$807=$A429)*(dataset!$J$2:$J$807&lt;&gt;"")),"")</f>
        <v/>
      </c>
    </row>
    <row r="430">
      <c r="A430" s="2" t="inlineStr">
        <is>
          <t>Stephen MacLellan</t>
        </is>
      </c>
      <c r="B430" s="2">
        <f>SUMPRODUCT(--(dataset!$C$2:$C$807=$A430))</f>
        <v/>
      </c>
      <c r="C430" s="3">
        <f>SUMPRODUCT((dataset!$C$2:$C$807=$A430)*dataset!$B$2:$B$807)/B430</f>
        <v/>
      </c>
      <c r="D430" s="2">
        <f>_xlfn.MINIFS(dataset!$B$2:$B$807,dataset!$C$2:$C$807,$A430)</f>
        <v/>
      </c>
      <c r="E430" s="2">
        <f>_xlfn.MAXIFS(dataset!$B$2:$B$807,dataset!$C$2:$C$807,$A430)</f>
        <v/>
      </c>
      <c r="F430" s="3">
        <f>IFERROR(SUMPRODUCT((dataset!$C$2:$C$807=$A430)*dataset!$I$2:$I$807)/SUMPRODUCT((dataset!$C$2:$C$807=$A430)*(dataset!$I$2:$I$807&lt;&gt;"")),"")</f>
        <v/>
      </c>
      <c r="G430" s="3">
        <f>IFERROR(SUMPRODUCT((dataset!$C$2:$C$807=$A430)*dataset!$J$2:$J$807)/SUMPRODUCT((dataset!$C$2:$C$807=$A430)*(dataset!$J$2:$J$807&lt;&gt;"")),"")</f>
        <v/>
      </c>
    </row>
    <row r="431">
      <c r="A431" s="2" t="inlineStr">
        <is>
          <t>Stephen R. Henry</t>
        </is>
      </c>
      <c r="B431" s="2">
        <f>SUMPRODUCT(--(dataset!$C$2:$C$807=$A431))</f>
        <v/>
      </c>
      <c r="C431" s="3">
        <f>SUMPRODUCT((dataset!$C$2:$C$807=$A431)*dataset!$B$2:$B$807)/B431</f>
        <v/>
      </c>
      <c r="D431" s="2">
        <f>_xlfn.MINIFS(dataset!$B$2:$B$807,dataset!$C$2:$C$807,$A431)</f>
        <v/>
      </c>
      <c r="E431" s="2">
        <f>_xlfn.MAXIFS(dataset!$B$2:$B$807,dataset!$C$2:$C$807,$A431)</f>
        <v/>
      </c>
      <c r="F431" s="3">
        <f>IFERROR(SUMPRODUCT((dataset!$C$2:$C$807=$A431)*dataset!$I$2:$I$807)/SUMPRODUCT((dataset!$C$2:$C$807=$A431)*(dataset!$I$2:$I$807&lt;&gt;"")),"")</f>
        <v/>
      </c>
      <c r="G431" s="3">
        <f>IFERROR(SUMPRODUCT((dataset!$C$2:$C$807=$A431)*dataset!$J$2:$J$807)/SUMPRODUCT((dataset!$C$2:$C$807=$A431)*(dataset!$J$2:$J$807&lt;&gt;"")),"")</f>
        <v/>
      </c>
    </row>
    <row r="432">
      <c r="A432" s="2" t="inlineStr">
        <is>
          <t>Stephy Loo</t>
        </is>
      </c>
      <c r="B432" s="2">
        <f>SUMPRODUCT(--(dataset!$C$2:$C$807=$A432))</f>
        <v/>
      </c>
      <c r="C432" s="3">
        <f>SUMPRODUCT((dataset!$C$2:$C$807=$A432)*dataset!$B$2:$B$807)/B432</f>
        <v/>
      </c>
      <c r="D432" s="2">
        <f>_xlfn.MINIFS(dataset!$B$2:$B$807,dataset!$C$2:$C$807,$A432)</f>
        <v/>
      </c>
      <c r="E432" s="2">
        <f>_xlfn.MAXIFS(dataset!$B$2:$B$807,dataset!$C$2:$C$807,$A432)</f>
        <v/>
      </c>
      <c r="F432" s="3">
        <f>IFERROR(SUMPRODUCT((dataset!$C$2:$C$807=$A432)*dataset!$I$2:$I$807)/SUMPRODUCT((dataset!$C$2:$C$807=$A432)*(dataset!$I$2:$I$807&lt;&gt;"")),"")</f>
        <v/>
      </c>
      <c r="G432" s="3">
        <f>IFERROR(SUMPRODUCT((dataset!$C$2:$C$807=$A432)*dataset!$J$2:$J$807)/SUMPRODUCT((dataset!$C$2:$C$807=$A432)*(dataset!$J$2:$J$807&lt;&gt;"")),"")</f>
        <v/>
      </c>
    </row>
    <row r="433">
      <c r="A433" s="2" t="inlineStr">
        <is>
          <t>Steven Wan</t>
        </is>
      </c>
      <c r="B433" s="2">
        <f>SUMPRODUCT(--(dataset!$C$2:$C$807=$A433))</f>
        <v/>
      </c>
      <c r="C433" s="3">
        <f>SUMPRODUCT((dataset!$C$2:$C$807=$A433)*dataset!$B$2:$B$807)/B433</f>
        <v/>
      </c>
      <c r="D433" s="2">
        <f>_xlfn.MINIFS(dataset!$B$2:$B$807,dataset!$C$2:$C$807,$A433)</f>
        <v/>
      </c>
      <c r="E433" s="2">
        <f>_xlfn.MAXIFS(dataset!$B$2:$B$807,dataset!$C$2:$C$807,$A433)</f>
        <v/>
      </c>
      <c r="F433" s="3">
        <f>IFERROR(SUMPRODUCT((dataset!$C$2:$C$807=$A433)*dataset!$I$2:$I$807)/SUMPRODUCT((dataset!$C$2:$C$807=$A433)*(dataset!$I$2:$I$807&lt;&gt;"")),"")</f>
        <v/>
      </c>
      <c r="G433" s="3">
        <f>IFERROR(SUMPRODUCT((dataset!$C$2:$C$807=$A433)*dataset!$J$2:$J$807)/SUMPRODUCT((dataset!$C$2:$C$807=$A433)*(dataset!$J$2:$J$807&lt;&gt;"")),"")</f>
        <v/>
      </c>
    </row>
    <row r="434">
      <c r="A434" s="2" t="inlineStr">
        <is>
          <t>Surya Kant Sahu</t>
        </is>
      </c>
      <c r="B434" s="2">
        <f>SUMPRODUCT(--(dataset!$C$2:$C$807=$A434))</f>
        <v/>
      </c>
      <c r="C434" s="3">
        <f>SUMPRODUCT((dataset!$C$2:$C$807=$A434)*dataset!$B$2:$B$807)/B434</f>
        <v/>
      </c>
      <c r="D434" s="2">
        <f>_xlfn.MINIFS(dataset!$B$2:$B$807,dataset!$C$2:$C$807,$A434)</f>
        <v/>
      </c>
      <c r="E434" s="2">
        <f>_xlfn.MAXIFS(dataset!$B$2:$B$807,dataset!$C$2:$C$807,$A434)</f>
        <v/>
      </c>
      <c r="F434" s="3">
        <f>IFERROR(SUMPRODUCT((dataset!$C$2:$C$807=$A434)*dataset!$I$2:$I$807)/SUMPRODUCT((dataset!$C$2:$C$807=$A434)*(dataset!$I$2:$I$807&lt;&gt;"")),"")</f>
        <v/>
      </c>
      <c r="G434" s="3">
        <f>IFERROR(SUMPRODUCT((dataset!$C$2:$C$807=$A434)*dataset!$J$2:$J$807)/SUMPRODUCT((dataset!$C$2:$C$807=$A434)*(dataset!$J$2:$J$807&lt;&gt;"")),"")</f>
        <v/>
      </c>
    </row>
    <row r="435">
      <c r="A435" s="2" t="inlineStr">
        <is>
          <t>Sydney K. Russell</t>
        </is>
      </c>
      <c r="B435" s="2">
        <f>SUMPRODUCT(--(dataset!$C$2:$C$807=$A435))</f>
        <v/>
      </c>
      <c r="C435" s="3">
        <f>SUMPRODUCT((dataset!$C$2:$C$807=$A435)*dataset!$B$2:$B$807)/B435</f>
        <v/>
      </c>
      <c r="D435" s="2">
        <f>_xlfn.MINIFS(dataset!$B$2:$B$807,dataset!$C$2:$C$807,$A435)</f>
        <v/>
      </c>
      <c r="E435" s="2">
        <f>_xlfn.MAXIFS(dataset!$B$2:$B$807,dataset!$C$2:$C$807,$A435)</f>
        <v/>
      </c>
      <c r="F435" s="3">
        <f>IFERROR(SUMPRODUCT((dataset!$C$2:$C$807=$A435)*dataset!$I$2:$I$807)/SUMPRODUCT((dataset!$C$2:$C$807=$A435)*(dataset!$I$2:$I$807&lt;&gt;"")),"")</f>
        <v/>
      </c>
      <c r="G435" s="3">
        <f>IFERROR(SUMPRODUCT((dataset!$C$2:$C$807=$A435)*dataset!$J$2:$J$807)/SUMPRODUCT((dataset!$C$2:$C$807=$A435)*(dataset!$J$2:$J$807&lt;&gt;"")),"")</f>
        <v/>
      </c>
    </row>
    <row r="436">
      <c r="A436" s="2" t="inlineStr">
        <is>
          <t>Sławomir Ciecierski</t>
        </is>
      </c>
      <c r="B436" s="2">
        <f>SUMPRODUCT(--(dataset!$C$2:$C$807=$A436))</f>
        <v/>
      </c>
      <c r="C436" s="3">
        <f>SUMPRODUCT((dataset!$C$2:$C$807=$A436)*dataset!$B$2:$B$807)/B436</f>
        <v/>
      </c>
      <c r="D436" s="2">
        <f>_xlfn.MINIFS(dataset!$B$2:$B$807,dataset!$C$2:$C$807,$A436)</f>
        <v/>
      </c>
      <c r="E436" s="2">
        <f>_xlfn.MAXIFS(dataset!$B$2:$B$807,dataset!$C$2:$C$807,$A436)</f>
        <v/>
      </c>
      <c r="F436" s="3">
        <f>IFERROR(SUMPRODUCT((dataset!$C$2:$C$807=$A436)*dataset!$I$2:$I$807)/SUMPRODUCT((dataset!$C$2:$C$807=$A436)*(dataset!$I$2:$I$807&lt;&gt;"")),"")</f>
        <v/>
      </c>
      <c r="G436" s="3">
        <f>IFERROR(SUMPRODUCT((dataset!$C$2:$C$807=$A436)*dataset!$J$2:$J$807)/SUMPRODUCT((dataset!$C$2:$C$807=$A436)*(dataset!$J$2:$J$807&lt;&gt;"")),"")</f>
        <v/>
      </c>
    </row>
    <row r="437">
      <c r="A437" s="2" t="inlineStr">
        <is>
          <t>T. Latour</t>
        </is>
      </c>
      <c r="B437" s="2">
        <f>SUMPRODUCT(--(dataset!$C$2:$C$807=$A437))</f>
        <v/>
      </c>
      <c r="C437" s="3">
        <f>SUMPRODUCT((dataset!$C$2:$C$807=$A437)*dataset!$B$2:$B$807)/B437</f>
        <v/>
      </c>
      <c r="D437" s="2">
        <f>_xlfn.MINIFS(dataset!$B$2:$B$807,dataset!$C$2:$C$807,$A437)</f>
        <v/>
      </c>
      <c r="E437" s="2">
        <f>_xlfn.MAXIFS(dataset!$B$2:$B$807,dataset!$C$2:$C$807,$A437)</f>
        <v/>
      </c>
      <c r="F437" s="3">
        <f>IFERROR(SUMPRODUCT((dataset!$C$2:$C$807=$A437)*dataset!$I$2:$I$807)/SUMPRODUCT((dataset!$C$2:$C$807=$A437)*(dataset!$I$2:$I$807&lt;&gt;"")),"")</f>
        <v/>
      </c>
      <c r="G437" s="3">
        <f>IFERROR(SUMPRODUCT((dataset!$C$2:$C$807=$A437)*dataset!$J$2:$J$807)/SUMPRODUCT((dataset!$C$2:$C$807=$A437)*(dataset!$J$2:$J$807&lt;&gt;"")),"")</f>
        <v/>
      </c>
    </row>
    <row r="438">
      <c r="A438" s="2" t="inlineStr">
        <is>
          <t>Takeru Kanazaki, Yasuhisa Baba, Takafumi Wada &amp; Sho Murakami</t>
        </is>
      </c>
      <c r="B438" s="2">
        <f>SUMPRODUCT(--(dataset!$C$2:$C$807=$A438))</f>
        <v/>
      </c>
      <c r="C438" s="3">
        <f>SUMPRODUCT((dataset!$C$2:$C$807=$A438)*dataset!$B$2:$B$807)/B438</f>
        <v/>
      </c>
      <c r="D438" s="2">
        <f>_xlfn.MINIFS(dataset!$B$2:$B$807,dataset!$C$2:$C$807,$A438)</f>
        <v/>
      </c>
      <c r="E438" s="2">
        <f>_xlfn.MAXIFS(dataset!$B$2:$B$807,dataset!$C$2:$C$807,$A438)</f>
        <v/>
      </c>
      <c r="F438" s="3">
        <f>IFERROR(SUMPRODUCT((dataset!$C$2:$C$807=$A438)*dataset!$I$2:$I$807)/SUMPRODUCT((dataset!$C$2:$C$807=$A438)*(dataset!$I$2:$I$807&lt;&gt;"")),"")</f>
        <v/>
      </c>
      <c r="G438" s="3">
        <f>IFERROR(SUMPRODUCT((dataset!$C$2:$C$807=$A438)*dataset!$J$2:$J$807)/SUMPRODUCT((dataset!$C$2:$C$807=$A438)*(dataset!$J$2:$J$807&lt;&gt;"")),"")</f>
        <v/>
      </c>
    </row>
    <row r="439">
      <c r="A439" s="2" t="inlineStr">
        <is>
          <t>Taro Bando &amp; Soyo Oka</t>
        </is>
      </c>
      <c r="B439" s="2">
        <f>SUMPRODUCT(--(dataset!$C$2:$C$807=$A439))</f>
        <v/>
      </c>
      <c r="C439" s="3">
        <f>SUMPRODUCT((dataset!$C$2:$C$807=$A439)*dataset!$B$2:$B$807)/B439</f>
        <v/>
      </c>
      <c r="D439" s="2">
        <f>_xlfn.MINIFS(dataset!$B$2:$B$807,dataset!$C$2:$C$807,$A439)</f>
        <v/>
      </c>
      <c r="E439" s="2">
        <f>_xlfn.MAXIFS(dataset!$B$2:$B$807,dataset!$C$2:$C$807,$A439)</f>
        <v/>
      </c>
      <c r="F439" s="3">
        <f>IFERROR(SUMPRODUCT((dataset!$C$2:$C$807=$A439)*dataset!$I$2:$I$807)/SUMPRODUCT((dataset!$C$2:$C$807=$A439)*(dataset!$I$2:$I$807&lt;&gt;"")),"")</f>
        <v/>
      </c>
      <c r="G439" s="3">
        <f>IFERROR(SUMPRODUCT((dataset!$C$2:$C$807=$A439)*dataset!$J$2:$J$807)/SUMPRODUCT((dataset!$C$2:$C$807=$A439)*(dataset!$J$2:$J$807&lt;&gt;"")),"")</f>
        <v/>
      </c>
    </row>
    <row r="440">
      <c r="A440" s="2" t="inlineStr">
        <is>
          <t>Taru Omebayashi &amp; Taku Matsushiba</t>
        </is>
      </c>
      <c r="B440" s="2">
        <f>SUMPRODUCT(--(dataset!$C$2:$C$807=$A440))</f>
        <v/>
      </c>
      <c r="C440" s="3">
        <f>SUMPRODUCT((dataset!$C$2:$C$807=$A440)*dataset!$B$2:$B$807)/B440</f>
        <v/>
      </c>
      <c r="D440" s="2">
        <f>_xlfn.MINIFS(dataset!$B$2:$B$807,dataset!$C$2:$C$807,$A440)</f>
        <v/>
      </c>
      <c r="E440" s="2">
        <f>_xlfn.MAXIFS(dataset!$B$2:$B$807,dataset!$C$2:$C$807,$A440)</f>
        <v/>
      </c>
      <c r="F440" s="3">
        <f>IFERROR(SUMPRODUCT((dataset!$C$2:$C$807=$A440)*dataset!$I$2:$I$807)/SUMPRODUCT((dataset!$C$2:$C$807=$A440)*(dataset!$I$2:$I$807&lt;&gt;"")),"")</f>
        <v/>
      </c>
      <c r="G440" s="3">
        <f>IFERROR(SUMPRODUCT((dataset!$C$2:$C$807=$A440)*dataset!$J$2:$J$807)/SUMPRODUCT((dataset!$C$2:$C$807=$A440)*(dataset!$J$2:$J$807&lt;&gt;"")),"")</f>
        <v/>
      </c>
    </row>
    <row r="441">
      <c r="A441" s="2" t="inlineStr">
        <is>
          <t>Tatsuya Murayama</t>
        </is>
      </c>
      <c r="B441" s="2">
        <f>SUMPRODUCT(--(dataset!$C$2:$C$807=$A441))</f>
        <v/>
      </c>
      <c r="C441" s="3">
        <f>SUMPRODUCT((dataset!$C$2:$C$807=$A441)*dataset!$B$2:$B$807)/B441</f>
        <v/>
      </c>
      <c r="D441" s="2">
        <f>_xlfn.MINIFS(dataset!$B$2:$B$807,dataset!$C$2:$C$807,$A441)</f>
        <v/>
      </c>
      <c r="E441" s="2">
        <f>_xlfn.MAXIFS(dataset!$B$2:$B$807,dataset!$C$2:$C$807,$A441)</f>
        <v/>
      </c>
      <c r="F441" s="3">
        <f>IFERROR(SUMPRODUCT((dataset!$C$2:$C$807=$A441)*dataset!$I$2:$I$807)/SUMPRODUCT((dataset!$C$2:$C$807=$A441)*(dataset!$I$2:$I$807&lt;&gt;"")),"")</f>
        <v/>
      </c>
      <c r="G441" s="3">
        <f>IFERROR(SUMPRODUCT((dataset!$C$2:$C$807=$A441)*dataset!$J$2:$J$807)/SUMPRODUCT((dataset!$C$2:$C$807=$A441)*(dataset!$J$2:$J$807&lt;&gt;"")),"")</f>
        <v/>
      </c>
    </row>
    <row r="442">
      <c r="A442" s="2" t="inlineStr">
        <is>
          <t>Terwiliger "Thumbs" Malone</t>
        </is>
      </c>
      <c r="B442" s="2">
        <f>SUMPRODUCT(--(dataset!$C$2:$C$807=$A442))</f>
        <v/>
      </c>
      <c r="C442" s="3">
        <f>SUMPRODUCT((dataset!$C$2:$C$807=$A442)*dataset!$B$2:$B$807)/B442</f>
        <v/>
      </c>
      <c r="D442" s="2">
        <f>_xlfn.MINIFS(dataset!$B$2:$B$807,dataset!$C$2:$C$807,$A442)</f>
        <v/>
      </c>
      <c r="E442" s="2">
        <f>_xlfn.MAXIFS(dataset!$B$2:$B$807,dataset!$C$2:$C$807,$A442)</f>
        <v/>
      </c>
      <c r="F442" s="3">
        <f>IFERROR(SUMPRODUCT((dataset!$C$2:$C$807=$A442)*dataset!$I$2:$I$807)/SUMPRODUCT((dataset!$C$2:$C$807=$A442)*(dataset!$I$2:$I$807&lt;&gt;"")),"")</f>
        <v/>
      </c>
      <c r="G442" s="3">
        <f>IFERROR(SUMPRODUCT((dataset!$C$2:$C$807=$A442)*dataset!$J$2:$J$807)/SUMPRODUCT((dataset!$C$2:$C$807=$A442)*(dataset!$J$2:$J$807&lt;&gt;"")),"")</f>
        <v/>
      </c>
    </row>
    <row r="443">
      <c r="A443" s="2" t="inlineStr">
        <is>
          <t>Thaehan</t>
        </is>
      </c>
      <c r="B443" s="2">
        <f>SUMPRODUCT(--(dataset!$C$2:$C$807=$A443))</f>
        <v/>
      </c>
      <c r="C443" s="3">
        <f>SUMPRODUCT((dataset!$C$2:$C$807=$A443)*dataset!$B$2:$B$807)/B443</f>
        <v/>
      </c>
      <c r="D443" s="2">
        <f>_xlfn.MINIFS(dataset!$B$2:$B$807,dataset!$C$2:$C$807,$A443)</f>
        <v/>
      </c>
      <c r="E443" s="2">
        <f>_xlfn.MAXIFS(dataset!$B$2:$B$807,dataset!$C$2:$C$807,$A443)</f>
        <v/>
      </c>
      <c r="F443" s="3">
        <f>IFERROR(SUMPRODUCT((dataset!$C$2:$C$807=$A443)*dataset!$I$2:$I$807)/SUMPRODUCT((dataset!$C$2:$C$807=$A443)*(dataset!$I$2:$I$807&lt;&gt;"")),"")</f>
        <v/>
      </c>
      <c r="G443" s="3">
        <f>IFERROR(SUMPRODUCT((dataset!$C$2:$C$807=$A443)*dataset!$J$2:$J$807)/SUMPRODUCT((dataset!$C$2:$C$807=$A443)*(dataset!$J$2:$J$807&lt;&gt;"")),"")</f>
        <v/>
      </c>
    </row>
    <row r="444">
      <c r="A444" s="2" t="inlineStr">
        <is>
          <t>The Oral Cigarettes</t>
        </is>
      </c>
      <c r="B444" s="2">
        <f>SUMPRODUCT(--(dataset!$C$2:$C$807=$A444))</f>
        <v/>
      </c>
      <c r="C444" s="3">
        <f>SUMPRODUCT((dataset!$C$2:$C$807=$A444)*dataset!$B$2:$B$807)/B444</f>
        <v/>
      </c>
      <c r="D444" s="2">
        <f>_xlfn.MINIFS(dataset!$B$2:$B$807,dataset!$C$2:$C$807,$A444)</f>
        <v/>
      </c>
      <c r="E444" s="2">
        <f>_xlfn.MAXIFS(dataset!$B$2:$B$807,dataset!$C$2:$C$807,$A444)</f>
        <v/>
      </c>
      <c r="F444" s="3">
        <f>IFERROR(SUMPRODUCT((dataset!$C$2:$C$807=$A444)*dataset!$I$2:$I$807)/SUMPRODUCT((dataset!$C$2:$C$807=$A444)*(dataset!$I$2:$I$807&lt;&gt;"")),"")</f>
        <v/>
      </c>
      <c r="G444" s="3">
        <f>IFERROR(SUMPRODUCT((dataset!$C$2:$C$807=$A444)*dataset!$J$2:$J$807)/SUMPRODUCT((dataset!$C$2:$C$807=$A444)*(dataset!$J$2:$J$807&lt;&gt;"")),"")</f>
        <v/>
      </c>
    </row>
    <row r="445">
      <c r="A445" s="2" t="inlineStr">
        <is>
          <t>The Weeknd</t>
        </is>
      </c>
      <c r="B445" s="2">
        <f>SUMPRODUCT(--(dataset!$C$2:$C$807=$A445))</f>
        <v/>
      </c>
      <c r="C445" s="3">
        <f>SUMPRODUCT((dataset!$C$2:$C$807=$A445)*dataset!$B$2:$B$807)/B445</f>
        <v/>
      </c>
      <c r="D445" s="2">
        <f>_xlfn.MINIFS(dataset!$B$2:$B$807,dataset!$C$2:$C$807,$A445)</f>
        <v/>
      </c>
      <c r="E445" s="2">
        <f>_xlfn.MAXIFS(dataset!$B$2:$B$807,dataset!$C$2:$C$807,$A445)</f>
        <v/>
      </c>
      <c r="F445" s="3">
        <f>IFERROR(SUMPRODUCT((dataset!$C$2:$C$807=$A445)*dataset!$I$2:$I$807)/SUMPRODUCT((dataset!$C$2:$C$807=$A445)*(dataset!$I$2:$I$807&lt;&gt;"")),"")</f>
        <v/>
      </c>
      <c r="G445" s="3">
        <f>IFERROR(SUMPRODUCT((dataset!$C$2:$C$807=$A445)*dataset!$J$2:$J$807)/SUMPRODUCT((dataset!$C$2:$C$807=$A445)*(dataset!$J$2:$J$807&lt;&gt;"")),"")</f>
        <v/>
      </c>
    </row>
    <row r="446">
      <c r="A446" s="2" t="inlineStr">
        <is>
          <t>Theo. O. Taubert</t>
        </is>
      </c>
      <c r="B446" s="2">
        <f>SUMPRODUCT(--(dataset!$C$2:$C$807=$A446))</f>
        <v/>
      </c>
      <c r="C446" s="3">
        <f>SUMPRODUCT((dataset!$C$2:$C$807=$A446)*dataset!$B$2:$B$807)/B446</f>
        <v/>
      </c>
      <c r="D446" s="2">
        <f>_xlfn.MINIFS(dataset!$B$2:$B$807,dataset!$C$2:$C$807,$A446)</f>
        <v/>
      </c>
      <c r="E446" s="2">
        <f>_xlfn.MAXIFS(dataset!$B$2:$B$807,dataset!$C$2:$C$807,$A446)</f>
        <v/>
      </c>
      <c r="F446" s="3">
        <f>IFERROR(SUMPRODUCT((dataset!$C$2:$C$807=$A446)*dataset!$I$2:$I$807)/SUMPRODUCT((dataset!$C$2:$C$807=$A446)*(dataset!$I$2:$I$807&lt;&gt;"")),"")</f>
        <v/>
      </c>
      <c r="G446" s="3">
        <f>IFERROR(SUMPRODUCT((dataset!$C$2:$C$807=$A446)*dataset!$J$2:$J$807)/SUMPRODUCT((dataset!$C$2:$C$807=$A446)*(dataset!$J$2:$J$807&lt;&gt;"")),"")</f>
        <v/>
      </c>
    </row>
    <row r="447">
      <c r="A447" s="2" t="inlineStr">
        <is>
          <t>Theodore von La Hache</t>
        </is>
      </c>
      <c r="B447" s="2">
        <f>SUMPRODUCT(--(dataset!$C$2:$C$807=$A447))</f>
        <v/>
      </c>
      <c r="C447" s="3">
        <f>SUMPRODUCT((dataset!$C$2:$C$807=$A447)*dataset!$B$2:$B$807)/B447</f>
        <v/>
      </c>
      <c r="D447" s="2">
        <f>_xlfn.MINIFS(dataset!$B$2:$B$807,dataset!$C$2:$C$807,$A447)</f>
        <v/>
      </c>
      <c r="E447" s="2">
        <f>_xlfn.MAXIFS(dataset!$B$2:$B$807,dataset!$C$2:$C$807,$A447)</f>
        <v/>
      </c>
      <c r="F447" s="3">
        <f>IFERROR(SUMPRODUCT((dataset!$C$2:$C$807=$A447)*dataset!$I$2:$I$807)/SUMPRODUCT((dataset!$C$2:$C$807=$A447)*(dataset!$I$2:$I$807&lt;&gt;"")),"")</f>
        <v/>
      </c>
      <c r="G447" s="3">
        <f>IFERROR(SUMPRODUCT((dataset!$C$2:$C$807=$A447)*dataset!$J$2:$J$807)/SUMPRODUCT((dataset!$C$2:$C$807=$A447)*(dataset!$J$2:$J$807&lt;&gt;"")),"")</f>
        <v/>
      </c>
    </row>
    <row r="448">
      <c r="A448" s="2" t="inlineStr">
        <is>
          <t>Thom Yorke</t>
        </is>
      </c>
      <c r="B448" s="2">
        <f>SUMPRODUCT(--(dataset!$C$2:$C$807=$A448))</f>
        <v/>
      </c>
      <c r="C448" s="3">
        <f>SUMPRODUCT((dataset!$C$2:$C$807=$A448)*dataset!$B$2:$B$807)/B448</f>
        <v/>
      </c>
      <c r="D448" s="2">
        <f>_xlfn.MINIFS(dataset!$B$2:$B$807,dataset!$C$2:$C$807,$A448)</f>
        <v/>
      </c>
      <c r="E448" s="2">
        <f>_xlfn.MAXIFS(dataset!$B$2:$B$807,dataset!$C$2:$C$807,$A448)</f>
        <v/>
      </c>
      <c r="F448" s="3">
        <f>IFERROR(SUMPRODUCT((dataset!$C$2:$C$807=$A448)*dataset!$I$2:$I$807)/SUMPRODUCT((dataset!$C$2:$C$807=$A448)*(dataset!$I$2:$I$807&lt;&gt;"")),"")</f>
        <v/>
      </c>
      <c r="G448" s="3">
        <f>IFERROR(SUMPRODUCT((dataset!$C$2:$C$807=$A448)*dataset!$J$2:$J$807)/SUMPRODUCT((dataset!$C$2:$C$807=$A448)*(dataset!$J$2:$J$807&lt;&gt;"")),"")</f>
        <v/>
      </c>
    </row>
    <row r="449">
      <c r="A449" s="2" t="inlineStr">
        <is>
          <t>Thomas Attwood</t>
        </is>
      </c>
      <c r="B449" s="2">
        <f>SUMPRODUCT(--(dataset!$C$2:$C$807=$A449))</f>
        <v/>
      </c>
      <c r="C449" s="3">
        <f>SUMPRODUCT((dataset!$C$2:$C$807=$A449)*dataset!$B$2:$B$807)/B449</f>
        <v/>
      </c>
      <c r="D449" s="2">
        <f>_xlfn.MINIFS(dataset!$B$2:$B$807,dataset!$C$2:$C$807,$A449)</f>
        <v/>
      </c>
      <c r="E449" s="2">
        <f>_xlfn.MAXIFS(dataset!$B$2:$B$807,dataset!$C$2:$C$807,$A449)</f>
        <v/>
      </c>
      <c r="F449" s="3">
        <f>IFERROR(SUMPRODUCT((dataset!$C$2:$C$807=$A449)*dataset!$I$2:$I$807)/SUMPRODUCT((dataset!$C$2:$C$807=$A449)*(dataset!$I$2:$I$807&lt;&gt;"")),"")</f>
        <v/>
      </c>
      <c r="G449" s="3">
        <f>IFERROR(SUMPRODUCT((dataset!$C$2:$C$807=$A449)*dataset!$J$2:$J$807)/SUMPRODUCT((dataset!$C$2:$C$807=$A449)*(dataset!$J$2:$J$807&lt;&gt;"")),"")</f>
        <v/>
      </c>
    </row>
    <row r="450">
      <c r="A450" s="2" t="inlineStr">
        <is>
          <t>Thomas Bergersen</t>
        </is>
      </c>
      <c r="B450" s="2">
        <f>SUMPRODUCT(--(dataset!$C$2:$C$807=$A450))</f>
        <v/>
      </c>
      <c r="C450" s="3">
        <f>SUMPRODUCT((dataset!$C$2:$C$807=$A450)*dataset!$B$2:$B$807)/B450</f>
        <v/>
      </c>
      <c r="D450" s="2">
        <f>_xlfn.MINIFS(dataset!$B$2:$B$807,dataset!$C$2:$C$807,$A450)</f>
        <v/>
      </c>
      <c r="E450" s="2">
        <f>_xlfn.MAXIFS(dataset!$B$2:$B$807,dataset!$C$2:$C$807,$A450)</f>
        <v/>
      </c>
      <c r="F450" s="3">
        <f>IFERROR(SUMPRODUCT((dataset!$C$2:$C$807=$A450)*dataset!$I$2:$I$807)/SUMPRODUCT((dataset!$C$2:$C$807=$A450)*(dataset!$I$2:$I$807&lt;&gt;"")),"")</f>
        <v/>
      </c>
      <c r="G450" s="3">
        <f>IFERROR(SUMPRODUCT((dataset!$C$2:$C$807=$A450)*dataset!$J$2:$J$807)/SUMPRODUCT((dataset!$C$2:$C$807=$A450)*(dataset!$J$2:$J$807&lt;&gt;"")),"")</f>
        <v/>
      </c>
    </row>
    <row r="451">
      <c r="A451" s="2" t="inlineStr">
        <is>
          <t>Tim Smith</t>
        </is>
      </c>
      <c r="B451" s="2">
        <f>SUMPRODUCT(--(dataset!$C$2:$C$807=$A451))</f>
        <v/>
      </c>
      <c r="C451" s="3">
        <f>SUMPRODUCT((dataset!$C$2:$C$807=$A451)*dataset!$B$2:$B$807)/B451</f>
        <v/>
      </c>
      <c r="D451" s="2">
        <f>_xlfn.MINIFS(dataset!$B$2:$B$807,dataset!$C$2:$C$807,$A451)</f>
        <v/>
      </c>
      <c r="E451" s="2">
        <f>_xlfn.MAXIFS(dataset!$B$2:$B$807,dataset!$C$2:$C$807,$A451)</f>
        <v/>
      </c>
      <c r="F451" s="3">
        <f>IFERROR(SUMPRODUCT((dataset!$C$2:$C$807=$A451)*dataset!$I$2:$I$807)/SUMPRODUCT((dataset!$C$2:$C$807=$A451)*(dataset!$I$2:$I$807&lt;&gt;"")),"")</f>
        <v/>
      </c>
      <c r="G451" s="3">
        <f>IFERROR(SUMPRODUCT((dataset!$C$2:$C$807=$A451)*dataset!$J$2:$J$807)/SUMPRODUCT((dataset!$C$2:$C$807=$A451)*(dataset!$J$2:$J$807&lt;&gt;"")),"")</f>
        <v/>
      </c>
    </row>
    <row r="452">
      <c r="A452" s="2" t="inlineStr">
        <is>
          <t>Tofiq Quliyev</t>
        </is>
      </c>
      <c r="B452" s="2">
        <f>SUMPRODUCT(--(dataset!$C$2:$C$807=$A452))</f>
        <v/>
      </c>
      <c r="C452" s="3">
        <f>SUMPRODUCT((dataset!$C$2:$C$807=$A452)*dataset!$B$2:$B$807)/B452</f>
        <v/>
      </c>
      <c r="D452" s="2">
        <f>_xlfn.MINIFS(dataset!$B$2:$B$807,dataset!$C$2:$C$807,$A452)</f>
        <v/>
      </c>
      <c r="E452" s="2">
        <f>_xlfn.MAXIFS(dataset!$B$2:$B$807,dataset!$C$2:$C$807,$A452)</f>
        <v/>
      </c>
      <c r="F452" s="3">
        <f>IFERROR(SUMPRODUCT((dataset!$C$2:$C$807=$A452)*dataset!$I$2:$I$807)/SUMPRODUCT((dataset!$C$2:$C$807=$A452)*(dataset!$I$2:$I$807&lt;&gt;"")),"")</f>
        <v/>
      </c>
      <c r="G452" s="3">
        <f>IFERROR(SUMPRODUCT((dataset!$C$2:$C$807=$A452)*dataset!$J$2:$J$807)/SUMPRODUCT((dataset!$C$2:$C$807=$A452)*(dataset!$J$2:$J$807&lt;&gt;"")),"")</f>
        <v/>
      </c>
    </row>
    <row r="453">
      <c r="A453" s="2" t="inlineStr">
        <is>
          <t>Toivo Kuula</t>
        </is>
      </c>
      <c r="B453" s="2">
        <f>SUMPRODUCT(--(dataset!$C$2:$C$807=$A453))</f>
        <v/>
      </c>
      <c r="C453" s="3">
        <f>SUMPRODUCT((dataset!$C$2:$C$807=$A453)*dataset!$B$2:$B$807)/B453</f>
        <v/>
      </c>
      <c r="D453" s="2">
        <f>_xlfn.MINIFS(dataset!$B$2:$B$807,dataset!$C$2:$C$807,$A453)</f>
        <v/>
      </c>
      <c r="E453" s="2">
        <f>_xlfn.MAXIFS(dataset!$B$2:$B$807,dataset!$C$2:$C$807,$A453)</f>
        <v/>
      </c>
      <c r="F453" s="3">
        <f>IFERROR(SUMPRODUCT((dataset!$C$2:$C$807=$A453)*dataset!$I$2:$I$807)/SUMPRODUCT((dataset!$C$2:$C$807=$A453)*(dataset!$I$2:$I$807&lt;&gt;"")),"")</f>
        <v/>
      </c>
      <c r="G453" s="3">
        <f>IFERROR(SUMPRODUCT((dataset!$C$2:$C$807=$A453)*dataset!$J$2:$J$807)/SUMPRODUCT((dataset!$C$2:$C$807=$A453)*(dataset!$J$2:$J$807&lt;&gt;"")),"")</f>
        <v/>
      </c>
    </row>
    <row r="454">
      <c r="A454" s="2" t="inlineStr">
        <is>
          <t>Tollie L Mitchell</t>
        </is>
      </c>
      <c r="B454" s="2">
        <f>SUMPRODUCT(--(dataset!$C$2:$C$807=$A454))</f>
        <v/>
      </c>
      <c r="C454" s="3">
        <f>SUMPRODUCT((dataset!$C$2:$C$807=$A454)*dataset!$B$2:$B$807)/B454</f>
        <v/>
      </c>
      <c r="D454" s="2">
        <f>_xlfn.MINIFS(dataset!$B$2:$B$807,dataset!$C$2:$C$807,$A454)</f>
        <v/>
      </c>
      <c r="E454" s="2">
        <f>_xlfn.MAXIFS(dataset!$B$2:$B$807,dataset!$C$2:$C$807,$A454)</f>
        <v/>
      </c>
      <c r="F454" s="3">
        <f>IFERROR(SUMPRODUCT((dataset!$C$2:$C$807=$A454)*dataset!$I$2:$I$807)/SUMPRODUCT((dataset!$C$2:$C$807=$A454)*(dataset!$I$2:$I$807&lt;&gt;"")),"")</f>
        <v/>
      </c>
      <c r="G454" s="3">
        <f>IFERROR(SUMPRODUCT((dataset!$C$2:$C$807=$A454)*dataset!$J$2:$J$807)/SUMPRODUCT((dataset!$C$2:$C$807=$A454)*(dataset!$J$2:$J$807&lt;&gt;"")),"")</f>
        <v/>
      </c>
    </row>
    <row r="455">
      <c r="A455" s="2" t="inlineStr">
        <is>
          <t>Tom Lehrer</t>
        </is>
      </c>
      <c r="B455" s="2">
        <f>SUMPRODUCT(--(dataset!$C$2:$C$807=$A455))</f>
        <v/>
      </c>
      <c r="C455" s="3">
        <f>SUMPRODUCT((dataset!$C$2:$C$807=$A455)*dataset!$B$2:$B$807)/B455</f>
        <v/>
      </c>
      <c r="D455" s="2">
        <f>_xlfn.MINIFS(dataset!$B$2:$B$807,dataset!$C$2:$C$807,$A455)</f>
        <v/>
      </c>
      <c r="E455" s="2">
        <f>_xlfn.MAXIFS(dataset!$B$2:$B$807,dataset!$C$2:$C$807,$A455)</f>
        <v/>
      </c>
      <c r="F455" s="3">
        <f>IFERROR(SUMPRODUCT((dataset!$C$2:$C$807=$A455)*dataset!$I$2:$I$807)/SUMPRODUCT((dataset!$C$2:$C$807=$A455)*(dataset!$I$2:$I$807&lt;&gt;"")),"")</f>
        <v/>
      </c>
      <c r="G455" s="3">
        <f>IFERROR(SUMPRODUCT((dataset!$C$2:$C$807=$A455)*dataset!$J$2:$J$807)/SUMPRODUCT((dataset!$C$2:$C$807=$A455)*(dataset!$J$2:$J$807&lt;&gt;"")),"")</f>
        <v/>
      </c>
    </row>
    <row r="456">
      <c r="A456" s="2" t="inlineStr">
        <is>
          <t>Tom Turpin</t>
        </is>
      </c>
      <c r="B456" s="2">
        <f>SUMPRODUCT(--(dataset!$C$2:$C$807=$A456))</f>
        <v/>
      </c>
      <c r="C456" s="3">
        <f>SUMPRODUCT((dataset!$C$2:$C$807=$A456)*dataset!$B$2:$B$807)/B456</f>
        <v/>
      </c>
      <c r="D456" s="2">
        <f>_xlfn.MINIFS(dataset!$B$2:$B$807,dataset!$C$2:$C$807,$A456)</f>
        <v/>
      </c>
      <c r="E456" s="2">
        <f>_xlfn.MAXIFS(dataset!$B$2:$B$807,dataset!$C$2:$C$807,$A456)</f>
        <v/>
      </c>
      <c r="F456" s="3">
        <f>IFERROR(SUMPRODUCT((dataset!$C$2:$C$807=$A456)*dataset!$I$2:$I$807)/SUMPRODUCT((dataset!$C$2:$C$807=$A456)*(dataset!$I$2:$I$807&lt;&gt;"")),"")</f>
        <v/>
      </c>
      <c r="G456" s="3">
        <f>IFERROR(SUMPRODUCT((dataset!$C$2:$C$807=$A456)*dataset!$J$2:$J$807)/SUMPRODUCT((dataset!$C$2:$C$807=$A456)*(dataset!$J$2:$J$807&lt;&gt;"")),"")</f>
        <v/>
      </c>
    </row>
    <row r="457">
      <c r="A457" s="2" t="inlineStr">
        <is>
          <t>Tommy Heng</t>
        </is>
      </c>
      <c r="B457" s="2">
        <f>SUMPRODUCT(--(dataset!$C$2:$C$807=$A457))</f>
        <v/>
      </c>
      <c r="C457" s="3">
        <f>SUMPRODUCT((dataset!$C$2:$C$807=$A457)*dataset!$B$2:$B$807)/B457</f>
        <v/>
      </c>
      <c r="D457" s="2">
        <f>_xlfn.MINIFS(dataset!$B$2:$B$807,dataset!$C$2:$C$807,$A457)</f>
        <v/>
      </c>
      <c r="E457" s="2">
        <f>_xlfn.MAXIFS(dataset!$B$2:$B$807,dataset!$C$2:$C$807,$A457)</f>
        <v/>
      </c>
      <c r="F457" s="3">
        <f>IFERROR(SUMPRODUCT((dataset!$C$2:$C$807=$A457)*dataset!$I$2:$I$807)/SUMPRODUCT((dataset!$C$2:$C$807=$A457)*(dataset!$I$2:$I$807&lt;&gt;"")),"")</f>
        <v/>
      </c>
      <c r="G457" s="3">
        <f>IFERROR(SUMPRODUCT((dataset!$C$2:$C$807=$A457)*dataset!$J$2:$J$807)/SUMPRODUCT((dataset!$C$2:$C$807=$A457)*(dataset!$J$2:$J$807&lt;&gt;"")),"")</f>
        <v/>
      </c>
    </row>
    <row r="458">
      <c r="A458" s="2" t="inlineStr">
        <is>
          <t>Tommy Tallarico</t>
        </is>
      </c>
      <c r="B458" s="2">
        <f>SUMPRODUCT(--(dataset!$C$2:$C$807=$A458))</f>
        <v/>
      </c>
      <c r="C458" s="3">
        <f>SUMPRODUCT((dataset!$C$2:$C$807=$A458)*dataset!$B$2:$B$807)/B458</f>
        <v/>
      </c>
      <c r="D458" s="2">
        <f>_xlfn.MINIFS(dataset!$B$2:$B$807,dataset!$C$2:$C$807,$A458)</f>
        <v/>
      </c>
      <c r="E458" s="2">
        <f>_xlfn.MAXIFS(dataset!$B$2:$B$807,dataset!$C$2:$C$807,$A458)</f>
        <v/>
      </c>
      <c r="F458" s="3">
        <f>IFERROR(SUMPRODUCT((dataset!$C$2:$C$807=$A458)*dataset!$I$2:$I$807)/SUMPRODUCT((dataset!$C$2:$C$807=$A458)*(dataset!$I$2:$I$807&lt;&gt;"")),"")</f>
        <v/>
      </c>
      <c r="G458" s="3">
        <f>IFERROR(SUMPRODUCT((dataset!$C$2:$C$807=$A458)*dataset!$J$2:$J$807)/SUMPRODUCT((dataset!$C$2:$C$807=$A458)*(dataset!$J$2:$J$807&lt;&gt;"")),"")</f>
        <v/>
      </c>
    </row>
    <row r="459">
      <c r="A459" s="2" t="inlineStr">
        <is>
          <t>Tomokazu Tashiro</t>
        </is>
      </c>
      <c r="B459" s="2">
        <f>SUMPRODUCT(--(dataset!$C$2:$C$807=$A459))</f>
        <v/>
      </c>
      <c r="C459" s="3">
        <f>SUMPRODUCT((dataset!$C$2:$C$807=$A459)*dataset!$B$2:$B$807)/B459</f>
        <v/>
      </c>
      <c r="D459" s="2">
        <f>_xlfn.MINIFS(dataset!$B$2:$B$807,dataset!$C$2:$C$807,$A459)</f>
        <v/>
      </c>
      <c r="E459" s="2">
        <f>_xlfn.MAXIFS(dataset!$B$2:$B$807,dataset!$C$2:$C$807,$A459)</f>
        <v/>
      </c>
      <c r="F459" s="3">
        <f>IFERROR(SUMPRODUCT((dataset!$C$2:$C$807=$A459)*dataset!$I$2:$I$807)/SUMPRODUCT((dataset!$C$2:$C$807=$A459)*(dataset!$I$2:$I$807&lt;&gt;"")),"")</f>
        <v/>
      </c>
      <c r="G459" s="3">
        <f>IFERROR(SUMPRODUCT((dataset!$C$2:$C$807=$A459)*dataset!$J$2:$J$807)/SUMPRODUCT((dataset!$C$2:$C$807=$A459)*(dataset!$J$2:$J$807&lt;&gt;"")),"")</f>
        <v/>
      </c>
    </row>
    <row r="460">
      <c r="A460" s="2" t="inlineStr">
        <is>
          <t>Tomoya Tomita</t>
        </is>
      </c>
      <c r="B460" s="2">
        <f>SUMPRODUCT(--(dataset!$C$2:$C$807=$A460))</f>
        <v/>
      </c>
      <c r="C460" s="3">
        <f>SUMPRODUCT((dataset!$C$2:$C$807=$A460)*dataset!$B$2:$B$807)/B460</f>
        <v/>
      </c>
      <c r="D460" s="2">
        <f>_xlfn.MINIFS(dataset!$B$2:$B$807,dataset!$C$2:$C$807,$A460)</f>
        <v/>
      </c>
      <c r="E460" s="2">
        <f>_xlfn.MAXIFS(dataset!$B$2:$B$807,dataset!$C$2:$C$807,$A460)</f>
        <v/>
      </c>
      <c r="F460" s="3">
        <f>IFERROR(SUMPRODUCT((dataset!$C$2:$C$807=$A460)*dataset!$I$2:$I$807)/SUMPRODUCT((dataset!$C$2:$C$807=$A460)*(dataset!$I$2:$I$807&lt;&gt;"")),"")</f>
        <v/>
      </c>
      <c r="G460" s="3">
        <f>IFERROR(SUMPRODUCT((dataset!$C$2:$C$807=$A460)*dataset!$J$2:$J$807)/SUMPRODUCT((dataset!$C$2:$C$807=$A460)*(dataset!$J$2:$J$807&lt;&gt;"")),"")</f>
        <v/>
      </c>
    </row>
    <row r="461">
      <c r="A461" s="2" t="inlineStr">
        <is>
          <t>Tony Banks</t>
        </is>
      </c>
      <c r="B461" s="2">
        <f>SUMPRODUCT(--(dataset!$C$2:$C$807=$A461))</f>
        <v/>
      </c>
      <c r="C461" s="3">
        <f>SUMPRODUCT((dataset!$C$2:$C$807=$A461)*dataset!$B$2:$B$807)/B461</f>
        <v/>
      </c>
      <c r="D461" s="2">
        <f>_xlfn.MINIFS(dataset!$B$2:$B$807,dataset!$C$2:$C$807,$A461)</f>
        <v/>
      </c>
      <c r="E461" s="2">
        <f>_xlfn.MAXIFS(dataset!$B$2:$B$807,dataset!$C$2:$C$807,$A461)</f>
        <v/>
      </c>
      <c r="F461" s="3">
        <f>IFERROR(SUMPRODUCT((dataset!$C$2:$C$807=$A461)*dataset!$I$2:$I$807)/SUMPRODUCT((dataset!$C$2:$C$807=$A461)*(dataset!$I$2:$I$807&lt;&gt;"")),"")</f>
        <v/>
      </c>
      <c r="G461" s="3">
        <f>IFERROR(SUMPRODUCT((dataset!$C$2:$C$807=$A461)*dataset!$J$2:$J$807)/SUMPRODUCT((dataset!$C$2:$C$807=$A461)*(dataset!$J$2:$J$807&lt;&gt;"")),"")</f>
        <v/>
      </c>
    </row>
    <row r="462">
      <c r="A462" s="2" t="inlineStr">
        <is>
          <t>Traditional</t>
        </is>
      </c>
      <c r="B462" s="2">
        <f>SUMPRODUCT(--(dataset!$C$2:$C$807=$A462))</f>
        <v/>
      </c>
      <c r="C462" s="3">
        <f>SUMPRODUCT((dataset!$C$2:$C$807=$A462)*dataset!$B$2:$B$807)/B462</f>
        <v/>
      </c>
      <c r="D462" s="2">
        <f>_xlfn.MINIFS(dataset!$B$2:$B$807,dataset!$C$2:$C$807,$A462)</f>
        <v/>
      </c>
      <c r="E462" s="2">
        <f>_xlfn.MAXIFS(dataset!$B$2:$B$807,dataset!$C$2:$C$807,$A462)</f>
        <v/>
      </c>
      <c r="F462" s="3">
        <f>IFERROR(SUMPRODUCT((dataset!$C$2:$C$807=$A462)*dataset!$I$2:$I$807)/SUMPRODUCT((dataset!$C$2:$C$807=$A462)*(dataset!$I$2:$I$807&lt;&gt;"")),"")</f>
        <v/>
      </c>
      <c r="G462" s="3">
        <f>IFERROR(SUMPRODUCT((dataset!$C$2:$C$807=$A462)*dataset!$J$2:$J$807)/SUMPRODUCT((dataset!$C$2:$C$807=$A462)*(dataset!$J$2:$J$807&lt;&gt;"")),"")</f>
        <v/>
      </c>
    </row>
    <row r="463">
      <c r="A463" s="2" t="inlineStr">
        <is>
          <t>Tucker Dillan Dorjahn</t>
        </is>
      </c>
      <c r="B463" s="2">
        <f>SUMPRODUCT(--(dataset!$C$2:$C$807=$A463))</f>
        <v/>
      </c>
      <c r="C463" s="3">
        <f>SUMPRODUCT((dataset!$C$2:$C$807=$A463)*dataset!$B$2:$B$807)/B463</f>
        <v/>
      </c>
      <c r="D463" s="2">
        <f>_xlfn.MINIFS(dataset!$B$2:$B$807,dataset!$C$2:$C$807,$A463)</f>
        <v/>
      </c>
      <c r="E463" s="2">
        <f>_xlfn.MAXIFS(dataset!$B$2:$B$807,dataset!$C$2:$C$807,$A463)</f>
        <v/>
      </c>
      <c r="F463" s="3">
        <f>IFERROR(SUMPRODUCT((dataset!$C$2:$C$807=$A463)*dataset!$I$2:$I$807)/SUMPRODUCT((dataset!$C$2:$C$807=$A463)*(dataset!$I$2:$I$807&lt;&gt;"")),"")</f>
        <v/>
      </c>
      <c r="G463" s="3">
        <f>IFERROR(SUMPRODUCT((dataset!$C$2:$C$807=$A463)*dataset!$J$2:$J$807)/SUMPRODUCT((dataset!$C$2:$C$807=$A463)*(dataset!$J$2:$J$807&lt;&gt;"")),"")</f>
        <v/>
      </c>
    </row>
    <row r="464">
      <c r="A464" s="2" t="inlineStr">
        <is>
          <t>Valeriya Pingski</t>
        </is>
      </c>
      <c r="B464" s="2">
        <f>SUMPRODUCT(--(dataset!$C$2:$C$807=$A464))</f>
        <v/>
      </c>
      <c r="C464" s="3">
        <f>SUMPRODUCT((dataset!$C$2:$C$807=$A464)*dataset!$B$2:$B$807)/B464</f>
        <v/>
      </c>
      <c r="D464" s="2">
        <f>_xlfn.MINIFS(dataset!$B$2:$B$807,dataset!$C$2:$C$807,$A464)</f>
        <v/>
      </c>
      <c r="E464" s="2">
        <f>_xlfn.MAXIFS(dataset!$B$2:$B$807,dataset!$C$2:$C$807,$A464)</f>
        <v/>
      </c>
      <c r="F464" s="3">
        <f>IFERROR(SUMPRODUCT((dataset!$C$2:$C$807=$A464)*dataset!$I$2:$I$807)/SUMPRODUCT((dataset!$C$2:$C$807=$A464)*(dataset!$I$2:$I$807&lt;&gt;"")),"")</f>
        <v/>
      </c>
      <c r="G464" s="3">
        <f>IFERROR(SUMPRODUCT((dataset!$C$2:$C$807=$A464)*dataset!$J$2:$J$807)/SUMPRODUCT((dataset!$C$2:$C$807=$A464)*(dataset!$J$2:$J$807&lt;&gt;"")),"")</f>
        <v/>
      </c>
    </row>
    <row r="465">
      <c r="A465" s="2" t="inlineStr">
        <is>
          <t>Vanros Kloud</t>
        </is>
      </c>
      <c r="B465" s="2">
        <f>SUMPRODUCT(--(dataset!$C$2:$C$807=$A465))</f>
        <v/>
      </c>
      <c r="C465" s="3">
        <f>SUMPRODUCT((dataset!$C$2:$C$807=$A465)*dataset!$B$2:$B$807)/B465</f>
        <v/>
      </c>
      <c r="D465" s="2">
        <f>_xlfn.MINIFS(dataset!$B$2:$B$807,dataset!$C$2:$C$807,$A465)</f>
        <v/>
      </c>
      <c r="E465" s="2">
        <f>_xlfn.MAXIFS(dataset!$B$2:$B$807,dataset!$C$2:$C$807,$A465)</f>
        <v/>
      </c>
      <c r="F465" s="3">
        <f>IFERROR(SUMPRODUCT((dataset!$C$2:$C$807=$A465)*dataset!$I$2:$I$807)/SUMPRODUCT((dataset!$C$2:$C$807=$A465)*(dataset!$I$2:$I$807&lt;&gt;"")),"")</f>
        <v/>
      </c>
      <c r="G465" s="3">
        <f>IFERROR(SUMPRODUCT((dataset!$C$2:$C$807=$A465)*dataset!$J$2:$J$807)/SUMPRODUCT((dataset!$C$2:$C$807=$A465)*(dataset!$J$2:$J$807&lt;&gt;"")),"")</f>
        <v/>
      </c>
    </row>
    <row r="466">
      <c r="A466" s="2" t="inlineStr">
        <is>
          <t>Vasily Kalinnikov</t>
        </is>
      </c>
      <c r="B466" s="2">
        <f>SUMPRODUCT(--(dataset!$C$2:$C$807=$A466))</f>
        <v/>
      </c>
      <c r="C466" s="3">
        <f>SUMPRODUCT((dataset!$C$2:$C$807=$A466)*dataset!$B$2:$B$807)/B466</f>
        <v/>
      </c>
      <c r="D466" s="2">
        <f>_xlfn.MINIFS(dataset!$B$2:$B$807,dataset!$C$2:$C$807,$A466)</f>
        <v/>
      </c>
      <c r="E466" s="2">
        <f>_xlfn.MAXIFS(dataset!$B$2:$B$807,dataset!$C$2:$C$807,$A466)</f>
        <v/>
      </c>
      <c r="F466" s="3">
        <f>IFERROR(SUMPRODUCT((dataset!$C$2:$C$807=$A466)*dataset!$I$2:$I$807)/SUMPRODUCT((dataset!$C$2:$C$807=$A466)*(dataset!$I$2:$I$807&lt;&gt;"")),"")</f>
        <v/>
      </c>
      <c r="G466" s="3">
        <f>IFERROR(SUMPRODUCT((dataset!$C$2:$C$807=$A466)*dataset!$J$2:$J$807)/SUMPRODUCT((dataset!$C$2:$C$807=$A466)*(dataset!$J$2:$J$807&lt;&gt;"")),"")</f>
        <v/>
      </c>
    </row>
    <row r="467">
      <c r="A467" s="2" t="inlineStr">
        <is>
          <t>Vee Lawnhurst</t>
        </is>
      </c>
      <c r="B467" s="2">
        <f>SUMPRODUCT(--(dataset!$C$2:$C$807=$A467))</f>
        <v/>
      </c>
      <c r="C467" s="3">
        <f>SUMPRODUCT((dataset!$C$2:$C$807=$A467)*dataset!$B$2:$B$807)/B467</f>
        <v/>
      </c>
      <c r="D467" s="2">
        <f>_xlfn.MINIFS(dataset!$B$2:$B$807,dataset!$C$2:$C$807,$A467)</f>
        <v/>
      </c>
      <c r="E467" s="2">
        <f>_xlfn.MAXIFS(dataset!$B$2:$B$807,dataset!$C$2:$C$807,$A467)</f>
        <v/>
      </c>
      <c r="F467" s="3">
        <f>IFERROR(SUMPRODUCT((dataset!$C$2:$C$807=$A467)*dataset!$I$2:$I$807)/SUMPRODUCT((dataset!$C$2:$C$807=$A467)*(dataset!$I$2:$I$807&lt;&gt;"")),"")</f>
        <v/>
      </c>
      <c r="G467" s="3">
        <f>IFERROR(SUMPRODUCT((dataset!$C$2:$C$807=$A467)*dataset!$J$2:$J$807)/SUMPRODUCT((dataset!$C$2:$C$807=$A467)*(dataset!$J$2:$J$807&lt;&gt;"")),"")</f>
        <v/>
      </c>
    </row>
    <row r="468">
      <c r="A468" s="2" t="inlineStr">
        <is>
          <t>Verdusk</t>
        </is>
      </c>
      <c r="B468" s="2">
        <f>SUMPRODUCT(--(dataset!$C$2:$C$807=$A468))</f>
        <v/>
      </c>
      <c r="C468" s="3">
        <f>SUMPRODUCT((dataset!$C$2:$C$807=$A468)*dataset!$B$2:$B$807)/B468</f>
        <v/>
      </c>
      <c r="D468" s="2">
        <f>_xlfn.MINIFS(dataset!$B$2:$B$807,dataset!$C$2:$C$807,$A468)</f>
        <v/>
      </c>
      <c r="E468" s="2">
        <f>_xlfn.MAXIFS(dataset!$B$2:$B$807,dataset!$C$2:$C$807,$A468)</f>
        <v/>
      </c>
      <c r="F468" s="3">
        <f>IFERROR(SUMPRODUCT((dataset!$C$2:$C$807=$A468)*dataset!$I$2:$I$807)/SUMPRODUCT((dataset!$C$2:$C$807=$A468)*(dataset!$I$2:$I$807&lt;&gt;"")),"")</f>
        <v/>
      </c>
      <c r="G468" s="3">
        <f>IFERROR(SUMPRODUCT((dataset!$C$2:$C$807=$A468)*dataset!$J$2:$J$807)/SUMPRODUCT((dataset!$C$2:$C$807=$A468)*(dataset!$J$2:$J$807&lt;&gt;"")),"")</f>
        <v/>
      </c>
    </row>
    <row r="469">
      <c r="A469" s="2" t="inlineStr">
        <is>
          <t>Vigo Kovačić</t>
        </is>
      </c>
      <c r="B469" s="2">
        <f>SUMPRODUCT(--(dataset!$C$2:$C$807=$A469))</f>
        <v/>
      </c>
      <c r="C469" s="3">
        <f>SUMPRODUCT((dataset!$C$2:$C$807=$A469)*dataset!$B$2:$B$807)/B469</f>
        <v/>
      </c>
      <c r="D469" s="2">
        <f>_xlfn.MINIFS(dataset!$B$2:$B$807,dataset!$C$2:$C$807,$A469)</f>
        <v/>
      </c>
      <c r="E469" s="2">
        <f>_xlfn.MAXIFS(dataset!$B$2:$B$807,dataset!$C$2:$C$807,$A469)</f>
        <v/>
      </c>
      <c r="F469" s="3">
        <f>IFERROR(SUMPRODUCT((dataset!$C$2:$C$807=$A469)*dataset!$I$2:$I$807)/SUMPRODUCT((dataset!$C$2:$C$807=$A469)*(dataset!$I$2:$I$807&lt;&gt;"")),"")</f>
        <v/>
      </c>
      <c r="G469" s="3">
        <f>IFERROR(SUMPRODUCT((dataset!$C$2:$C$807=$A469)*dataset!$J$2:$J$807)/SUMPRODUCT((dataset!$C$2:$C$807=$A469)*(dataset!$J$2:$J$807&lt;&gt;"")),"")</f>
        <v/>
      </c>
    </row>
    <row r="470">
      <c r="A470" s="2" t="inlineStr">
        <is>
          <t>W. C. Simon</t>
        </is>
      </c>
      <c r="B470" s="2">
        <f>SUMPRODUCT(--(dataset!$C$2:$C$807=$A470))</f>
        <v/>
      </c>
      <c r="C470" s="3">
        <f>SUMPRODUCT((dataset!$C$2:$C$807=$A470)*dataset!$B$2:$B$807)/B470</f>
        <v/>
      </c>
      <c r="D470" s="2">
        <f>_xlfn.MINIFS(dataset!$B$2:$B$807,dataset!$C$2:$C$807,$A470)</f>
        <v/>
      </c>
      <c r="E470" s="2">
        <f>_xlfn.MAXIFS(dataset!$B$2:$B$807,dataset!$C$2:$C$807,$A470)</f>
        <v/>
      </c>
      <c r="F470" s="3">
        <f>IFERROR(SUMPRODUCT((dataset!$C$2:$C$807=$A470)*dataset!$I$2:$I$807)/SUMPRODUCT((dataset!$C$2:$C$807=$A470)*(dataset!$I$2:$I$807&lt;&gt;"")),"")</f>
        <v/>
      </c>
      <c r="G470" s="3">
        <f>IFERROR(SUMPRODUCT((dataset!$C$2:$C$807=$A470)*dataset!$J$2:$J$807)/SUMPRODUCT((dataset!$C$2:$C$807=$A470)*(dataset!$J$2:$J$807&lt;&gt;"")),"")</f>
        <v/>
      </c>
    </row>
    <row r="471">
      <c r="A471" s="2" t="inlineStr">
        <is>
          <t>W. G. Snuffy Walden</t>
        </is>
      </c>
      <c r="B471" s="2">
        <f>SUMPRODUCT(--(dataset!$C$2:$C$807=$A471))</f>
        <v/>
      </c>
      <c r="C471" s="3">
        <f>SUMPRODUCT((dataset!$C$2:$C$807=$A471)*dataset!$B$2:$B$807)/B471</f>
        <v/>
      </c>
      <c r="D471" s="2">
        <f>_xlfn.MINIFS(dataset!$B$2:$B$807,dataset!$C$2:$C$807,$A471)</f>
        <v/>
      </c>
      <c r="E471" s="2">
        <f>_xlfn.MAXIFS(dataset!$B$2:$B$807,dataset!$C$2:$C$807,$A471)</f>
        <v/>
      </c>
      <c r="F471" s="3">
        <f>IFERROR(SUMPRODUCT((dataset!$C$2:$C$807=$A471)*dataset!$I$2:$I$807)/SUMPRODUCT((dataset!$C$2:$C$807=$A471)*(dataset!$I$2:$I$807&lt;&gt;"")),"")</f>
        <v/>
      </c>
      <c r="G471" s="3">
        <f>IFERROR(SUMPRODUCT((dataset!$C$2:$C$807=$A471)*dataset!$J$2:$J$807)/SUMPRODUCT((dataset!$C$2:$C$807=$A471)*(dataset!$J$2:$J$807&lt;&gt;"")),"")</f>
        <v/>
      </c>
    </row>
    <row r="472">
      <c r="A472" s="2" t="inlineStr">
        <is>
          <t>W. L. Needham</t>
        </is>
      </c>
      <c r="B472" s="2">
        <f>SUMPRODUCT(--(dataset!$C$2:$C$807=$A472))</f>
        <v/>
      </c>
      <c r="C472" s="3">
        <f>SUMPRODUCT((dataset!$C$2:$C$807=$A472)*dataset!$B$2:$B$807)/B472</f>
        <v/>
      </c>
      <c r="D472" s="2">
        <f>_xlfn.MINIFS(dataset!$B$2:$B$807,dataset!$C$2:$C$807,$A472)</f>
        <v/>
      </c>
      <c r="E472" s="2">
        <f>_xlfn.MAXIFS(dataset!$B$2:$B$807,dataset!$C$2:$C$807,$A472)</f>
        <v/>
      </c>
      <c r="F472" s="3">
        <f>IFERROR(SUMPRODUCT((dataset!$C$2:$C$807=$A472)*dataset!$I$2:$I$807)/SUMPRODUCT((dataset!$C$2:$C$807=$A472)*(dataset!$I$2:$I$807&lt;&gt;"")),"")</f>
        <v/>
      </c>
      <c r="G472" s="3">
        <f>IFERROR(SUMPRODUCT((dataset!$C$2:$C$807=$A472)*dataset!$J$2:$J$807)/SUMPRODUCT((dataset!$C$2:$C$807=$A472)*(dataset!$J$2:$J$807&lt;&gt;"")),"")</f>
        <v/>
      </c>
    </row>
    <row r="473">
      <c r="A473" s="2" t="inlineStr">
        <is>
          <t>W. P. Johnston</t>
        </is>
      </c>
      <c r="B473" s="2">
        <f>SUMPRODUCT(--(dataset!$C$2:$C$807=$A473))</f>
        <v/>
      </c>
      <c r="C473" s="3">
        <f>SUMPRODUCT((dataset!$C$2:$C$807=$A473)*dataset!$B$2:$B$807)/B473</f>
        <v/>
      </c>
      <c r="D473" s="2">
        <f>_xlfn.MINIFS(dataset!$B$2:$B$807,dataset!$C$2:$C$807,$A473)</f>
        <v/>
      </c>
      <c r="E473" s="2">
        <f>_xlfn.MAXIFS(dataset!$B$2:$B$807,dataset!$C$2:$C$807,$A473)</f>
        <v/>
      </c>
      <c r="F473" s="3">
        <f>IFERROR(SUMPRODUCT((dataset!$C$2:$C$807=$A473)*dataset!$I$2:$I$807)/SUMPRODUCT((dataset!$C$2:$C$807=$A473)*(dataset!$I$2:$I$807&lt;&gt;"")),"")</f>
        <v/>
      </c>
      <c r="G473" s="3">
        <f>IFERROR(SUMPRODUCT((dataset!$C$2:$C$807=$A473)*dataset!$J$2:$J$807)/SUMPRODUCT((dataset!$C$2:$C$807=$A473)*(dataset!$J$2:$J$807&lt;&gt;"")),"")</f>
        <v/>
      </c>
    </row>
    <row r="474">
      <c r="A474" s="2" t="inlineStr">
        <is>
          <t>W. R. Chang</t>
        </is>
      </c>
      <c r="B474" s="2">
        <f>SUMPRODUCT(--(dataset!$C$2:$C$807=$A474))</f>
        <v/>
      </c>
      <c r="C474" s="3">
        <f>SUMPRODUCT((dataset!$C$2:$C$807=$A474)*dataset!$B$2:$B$807)/B474</f>
        <v/>
      </c>
      <c r="D474" s="2">
        <f>_xlfn.MINIFS(dataset!$B$2:$B$807,dataset!$C$2:$C$807,$A474)</f>
        <v/>
      </c>
      <c r="E474" s="2">
        <f>_xlfn.MAXIFS(dataset!$B$2:$B$807,dataset!$C$2:$C$807,$A474)</f>
        <v/>
      </c>
      <c r="F474" s="3">
        <f>IFERROR(SUMPRODUCT((dataset!$C$2:$C$807=$A474)*dataset!$I$2:$I$807)/SUMPRODUCT((dataset!$C$2:$C$807=$A474)*(dataset!$I$2:$I$807&lt;&gt;"")),"")</f>
        <v/>
      </c>
      <c r="G474" s="3">
        <f>IFERROR(SUMPRODUCT((dataset!$C$2:$C$807=$A474)*dataset!$J$2:$J$807)/SUMPRODUCT((dataset!$C$2:$C$807=$A474)*(dataset!$J$2:$J$807&lt;&gt;"")),"")</f>
        <v/>
      </c>
    </row>
    <row r="475">
      <c r="A475" s="2" t="inlineStr">
        <is>
          <t>Webb Long</t>
        </is>
      </c>
      <c r="B475" s="2">
        <f>SUMPRODUCT(--(dataset!$C$2:$C$807=$A475))</f>
        <v/>
      </c>
      <c r="C475" s="3">
        <f>SUMPRODUCT((dataset!$C$2:$C$807=$A475)*dataset!$B$2:$B$807)/B475</f>
        <v/>
      </c>
      <c r="D475" s="2">
        <f>_xlfn.MINIFS(dataset!$B$2:$B$807,dataset!$C$2:$C$807,$A475)</f>
        <v/>
      </c>
      <c r="E475" s="2">
        <f>_xlfn.MAXIFS(dataset!$B$2:$B$807,dataset!$C$2:$C$807,$A475)</f>
        <v/>
      </c>
      <c r="F475" s="3">
        <f>IFERROR(SUMPRODUCT((dataset!$C$2:$C$807=$A475)*dataset!$I$2:$I$807)/SUMPRODUCT((dataset!$C$2:$C$807=$A475)*(dataset!$I$2:$I$807&lt;&gt;"")),"")</f>
        <v/>
      </c>
      <c r="G475" s="3">
        <f>IFERROR(SUMPRODUCT((dataset!$C$2:$C$807=$A475)*dataset!$J$2:$J$807)/SUMPRODUCT((dataset!$C$2:$C$807=$A475)*(dataset!$J$2:$J$807&lt;&gt;"")),"")</f>
        <v/>
      </c>
    </row>
    <row r="476">
      <c r="A476" s="2" t="inlineStr">
        <is>
          <t>William D. Slover</t>
        </is>
      </c>
      <c r="B476" s="2">
        <f>SUMPRODUCT(--(dataset!$C$2:$C$807=$A476))</f>
        <v/>
      </c>
      <c r="C476" s="3">
        <f>SUMPRODUCT((dataset!$C$2:$C$807=$A476)*dataset!$B$2:$B$807)/B476</f>
        <v/>
      </c>
      <c r="D476" s="2">
        <f>_xlfn.MINIFS(dataset!$B$2:$B$807,dataset!$C$2:$C$807,$A476)</f>
        <v/>
      </c>
      <c r="E476" s="2">
        <f>_xlfn.MAXIFS(dataset!$B$2:$B$807,dataset!$C$2:$C$807,$A476)</f>
        <v/>
      </c>
      <c r="F476" s="3">
        <f>IFERROR(SUMPRODUCT((dataset!$C$2:$C$807=$A476)*dataset!$I$2:$I$807)/SUMPRODUCT((dataset!$C$2:$C$807=$A476)*(dataset!$I$2:$I$807&lt;&gt;"")),"")</f>
        <v/>
      </c>
      <c r="G476" s="3">
        <f>IFERROR(SUMPRODUCT((dataset!$C$2:$C$807=$A476)*dataset!$J$2:$J$807)/SUMPRODUCT((dataset!$C$2:$C$807=$A476)*(dataset!$J$2:$J$807&lt;&gt;"")),"")</f>
        <v/>
      </c>
    </row>
    <row r="477">
      <c r="A477" s="2" t="inlineStr">
        <is>
          <t>William Duncombe</t>
        </is>
      </c>
      <c r="B477" s="2">
        <f>SUMPRODUCT(--(dataset!$C$2:$C$807=$A477))</f>
        <v/>
      </c>
      <c r="C477" s="3">
        <f>SUMPRODUCT((dataset!$C$2:$C$807=$A477)*dataset!$B$2:$B$807)/B477</f>
        <v/>
      </c>
      <c r="D477" s="2">
        <f>_xlfn.MINIFS(dataset!$B$2:$B$807,dataset!$C$2:$C$807,$A477)</f>
        <v/>
      </c>
      <c r="E477" s="2">
        <f>_xlfn.MAXIFS(dataset!$B$2:$B$807,dataset!$C$2:$C$807,$A477)</f>
        <v/>
      </c>
      <c r="F477" s="3">
        <f>IFERROR(SUMPRODUCT((dataset!$C$2:$C$807=$A477)*dataset!$I$2:$I$807)/SUMPRODUCT((dataset!$C$2:$C$807=$A477)*(dataset!$I$2:$I$807&lt;&gt;"")),"")</f>
        <v/>
      </c>
      <c r="G477" s="3">
        <f>IFERROR(SUMPRODUCT((dataset!$C$2:$C$807=$A477)*dataset!$J$2:$J$807)/SUMPRODUCT((dataset!$C$2:$C$807=$A477)*(dataset!$J$2:$J$807&lt;&gt;"")),"")</f>
        <v/>
      </c>
    </row>
    <row r="478">
      <c r="A478" s="2" t="inlineStr">
        <is>
          <t>William Fung</t>
        </is>
      </c>
      <c r="B478" s="2">
        <f>SUMPRODUCT(--(dataset!$C$2:$C$807=$A478))</f>
        <v/>
      </c>
      <c r="C478" s="3">
        <f>SUMPRODUCT((dataset!$C$2:$C$807=$A478)*dataset!$B$2:$B$807)/B478</f>
        <v/>
      </c>
      <c r="D478" s="2">
        <f>_xlfn.MINIFS(dataset!$B$2:$B$807,dataset!$C$2:$C$807,$A478)</f>
        <v/>
      </c>
      <c r="E478" s="2">
        <f>_xlfn.MAXIFS(dataset!$B$2:$B$807,dataset!$C$2:$C$807,$A478)</f>
        <v/>
      </c>
      <c r="F478" s="3">
        <f>IFERROR(SUMPRODUCT((dataset!$C$2:$C$807=$A478)*dataset!$I$2:$I$807)/SUMPRODUCT((dataset!$C$2:$C$807=$A478)*(dataset!$I$2:$I$807&lt;&gt;"")),"")</f>
        <v/>
      </c>
      <c r="G478" s="3">
        <f>IFERROR(SUMPRODUCT((dataset!$C$2:$C$807=$A478)*dataset!$J$2:$J$807)/SUMPRODUCT((dataset!$C$2:$C$807=$A478)*(dataset!$J$2:$J$807&lt;&gt;"")),"")</f>
        <v/>
      </c>
    </row>
    <row r="479">
      <c r="A479" s="2" t="inlineStr">
        <is>
          <t>William H. Penn</t>
        </is>
      </c>
      <c r="B479" s="2">
        <f>SUMPRODUCT(--(dataset!$C$2:$C$807=$A479))</f>
        <v/>
      </c>
      <c r="C479" s="3">
        <f>SUMPRODUCT((dataset!$C$2:$C$807=$A479)*dataset!$B$2:$B$807)/B479</f>
        <v/>
      </c>
      <c r="D479" s="2">
        <f>_xlfn.MINIFS(dataset!$B$2:$B$807,dataset!$C$2:$C$807,$A479)</f>
        <v/>
      </c>
      <c r="E479" s="2">
        <f>_xlfn.MAXIFS(dataset!$B$2:$B$807,dataset!$C$2:$C$807,$A479)</f>
        <v/>
      </c>
      <c r="F479" s="3">
        <f>IFERROR(SUMPRODUCT((dataset!$C$2:$C$807=$A479)*dataset!$I$2:$I$807)/SUMPRODUCT((dataset!$C$2:$C$807=$A479)*(dataset!$I$2:$I$807&lt;&gt;"")),"")</f>
        <v/>
      </c>
      <c r="G479" s="3">
        <f>IFERROR(SUMPRODUCT((dataset!$C$2:$C$807=$A479)*dataset!$J$2:$J$807)/SUMPRODUCT((dataset!$C$2:$C$807=$A479)*(dataset!$J$2:$J$807&lt;&gt;"")),"")</f>
        <v/>
      </c>
    </row>
    <row r="480">
      <c r="A480" s="2" t="inlineStr">
        <is>
          <t>Wladislaw Leszczewski</t>
        </is>
      </c>
      <c r="B480" s="2">
        <f>SUMPRODUCT(--(dataset!$C$2:$C$807=$A480))</f>
        <v/>
      </c>
      <c r="C480" s="3">
        <f>SUMPRODUCT((dataset!$C$2:$C$807=$A480)*dataset!$B$2:$B$807)/B480</f>
        <v/>
      </c>
      <c r="D480" s="2">
        <f>_xlfn.MINIFS(dataset!$B$2:$B$807,dataset!$C$2:$C$807,$A480)</f>
        <v/>
      </c>
      <c r="E480" s="2">
        <f>_xlfn.MAXIFS(dataset!$B$2:$B$807,dataset!$C$2:$C$807,$A480)</f>
        <v/>
      </c>
      <c r="F480" s="3">
        <f>IFERROR(SUMPRODUCT((dataset!$C$2:$C$807=$A480)*dataset!$I$2:$I$807)/SUMPRODUCT((dataset!$C$2:$C$807=$A480)*(dataset!$I$2:$I$807&lt;&gt;"")),"")</f>
        <v/>
      </c>
      <c r="G480" s="3">
        <f>IFERROR(SUMPRODUCT((dataset!$C$2:$C$807=$A480)*dataset!$J$2:$J$807)/SUMPRODUCT((dataset!$C$2:$C$807=$A480)*(dataset!$J$2:$J$807&lt;&gt;"")),"")</f>
        <v/>
      </c>
    </row>
    <row r="481">
      <c r="A481" s="2" t="inlineStr">
        <is>
          <t>xi</t>
        </is>
      </c>
      <c r="B481" s="2">
        <f>SUMPRODUCT(--(dataset!$C$2:$C$807=$A481))</f>
        <v/>
      </c>
      <c r="C481" s="3">
        <f>SUMPRODUCT((dataset!$C$2:$C$807=$A481)*dataset!$B$2:$B$807)/B481</f>
        <v/>
      </c>
      <c r="D481" s="2">
        <f>_xlfn.MINIFS(dataset!$B$2:$B$807,dataset!$C$2:$C$807,$A481)</f>
        <v/>
      </c>
      <c r="E481" s="2">
        <f>_xlfn.MAXIFS(dataset!$B$2:$B$807,dataset!$C$2:$C$807,$A481)</f>
        <v/>
      </c>
      <c r="F481" s="3">
        <f>IFERROR(SUMPRODUCT((dataset!$C$2:$C$807=$A481)*dataset!$I$2:$I$807)/SUMPRODUCT((dataset!$C$2:$C$807=$A481)*(dataset!$I$2:$I$807&lt;&gt;"")),"")</f>
        <v/>
      </c>
      <c r="G481" s="3">
        <f>IFERROR(SUMPRODUCT((dataset!$C$2:$C$807=$A481)*dataset!$J$2:$J$807)/SUMPRODUCT((dataset!$C$2:$C$807=$A481)*(dataset!$J$2:$J$807&lt;&gt;"")),"")</f>
        <v/>
      </c>
    </row>
    <row r="482">
      <c r="A482" s="2" t="inlineStr">
        <is>
          <t>Xy Lee</t>
        </is>
      </c>
      <c r="B482" s="2">
        <f>SUMPRODUCT(--(dataset!$C$2:$C$807=$A482))</f>
        <v/>
      </c>
      <c r="C482" s="3">
        <f>SUMPRODUCT((dataset!$C$2:$C$807=$A482)*dataset!$B$2:$B$807)/B482</f>
        <v/>
      </c>
      <c r="D482" s="2">
        <f>_xlfn.MINIFS(dataset!$B$2:$B$807,dataset!$C$2:$C$807,$A482)</f>
        <v/>
      </c>
      <c r="E482" s="2">
        <f>_xlfn.MAXIFS(dataset!$B$2:$B$807,dataset!$C$2:$C$807,$A482)</f>
        <v/>
      </c>
      <c r="F482" s="3">
        <f>IFERROR(SUMPRODUCT((dataset!$C$2:$C$807=$A482)*dataset!$I$2:$I$807)/SUMPRODUCT((dataset!$C$2:$C$807=$A482)*(dataset!$I$2:$I$807&lt;&gt;"")),"")</f>
        <v/>
      </c>
      <c r="G482" s="3">
        <f>IFERROR(SUMPRODUCT((dataset!$C$2:$C$807=$A482)*dataset!$J$2:$J$807)/SUMPRODUCT((dataset!$C$2:$C$807=$A482)*(dataset!$J$2:$J$807&lt;&gt;"")),"")</f>
        <v/>
      </c>
    </row>
    <row r="483">
      <c r="A483" s="2" t="inlineStr">
        <is>
          <t>Yasuaki Fujita</t>
        </is>
      </c>
      <c r="B483" s="2">
        <f>SUMPRODUCT(--(dataset!$C$2:$C$807=$A483))</f>
        <v/>
      </c>
      <c r="C483" s="3">
        <f>SUMPRODUCT((dataset!$C$2:$C$807=$A483)*dataset!$B$2:$B$807)/B483</f>
        <v/>
      </c>
      <c r="D483" s="2">
        <f>_xlfn.MINIFS(dataset!$B$2:$B$807,dataset!$C$2:$C$807,$A483)</f>
        <v/>
      </c>
      <c r="E483" s="2">
        <f>_xlfn.MAXIFS(dataset!$B$2:$B$807,dataset!$C$2:$C$807,$A483)</f>
        <v/>
      </c>
      <c r="F483" s="3">
        <f>IFERROR(SUMPRODUCT((dataset!$C$2:$C$807=$A483)*dataset!$I$2:$I$807)/SUMPRODUCT((dataset!$C$2:$C$807=$A483)*(dataset!$I$2:$I$807&lt;&gt;"")),"")</f>
        <v/>
      </c>
      <c r="G483" s="3">
        <f>IFERROR(SUMPRODUCT((dataset!$C$2:$C$807=$A483)*dataset!$J$2:$J$807)/SUMPRODUCT((dataset!$C$2:$C$807=$A483)*(dataset!$J$2:$J$807&lt;&gt;"")),"")</f>
        <v/>
      </c>
    </row>
    <row r="484">
      <c r="A484" s="2" t="inlineStr">
        <is>
          <t>Yasunori Mitsuda</t>
        </is>
      </c>
      <c r="B484" s="2">
        <f>SUMPRODUCT(--(dataset!$C$2:$C$807=$A484))</f>
        <v/>
      </c>
      <c r="C484" s="3">
        <f>SUMPRODUCT((dataset!$C$2:$C$807=$A484)*dataset!$B$2:$B$807)/B484</f>
        <v/>
      </c>
      <c r="D484" s="2">
        <f>_xlfn.MINIFS(dataset!$B$2:$B$807,dataset!$C$2:$C$807,$A484)</f>
        <v/>
      </c>
      <c r="E484" s="2">
        <f>_xlfn.MAXIFS(dataset!$B$2:$B$807,dataset!$C$2:$C$807,$A484)</f>
        <v/>
      </c>
      <c r="F484" s="3">
        <f>IFERROR(SUMPRODUCT((dataset!$C$2:$C$807=$A484)*dataset!$I$2:$I$807)/SUMPRODUCT((dataset!$C$2:$C$807=$A484)*(dataset!$I$2:$I$807&lt;&gt;"")),"")</f>
        <v/>
      </c>
      <c r="G484" s="3">
        <f>IFERROR(SUMPRODUCT((dataset!$C$2:$C$807=$A484)*dataset!$J$2:$J$807)/SUMPRODUCT((dataset!$C$2:$C$807=$A484)*(dataset!$J$2:$J$807&lt;&gt;"")),"")</f>
        <v/>
      </c>
    </row>
    <row r="485">
      <c r="A485" s="2" t="inlineStr">
        <is>
          <t>Yuhua Zhang</t>
        </is>
      </c>
      <c r="B485" s="2">
        <f>SUMPRODUCT(--(dataset!$C$2:$C$807=$A485))</f>
        <v/>
      </c>
      <c r="C485" s="3">
        <f>SUMPRODUCT((dataset!$C$2:$C$807=$A485)*dataset!$B$2:$B$807)/B485</f>
        <v/>
      </c>
      <c r="D485" s="2">
        <f>_xlfn.MINIFS(dataset!$B$2:$B$807,dataset!$C$2:$C$807,$A485)</f>
        <v/>
      </c>
      <c r="E485" s="2">
        <f>_xlfn.MAXIFS(dataset!$B$2:$B$807,dataset!$C$2:$C$807,$A485)</f>
        <v/>
      </c>
      <c r="F485" s="3">
        <f>IFERROR(SUMPRODUCT((dataset!$C$2:$C$807=$A485)*dataset!$I$2:$I$807)/SUMPRODUCT((dataset!$C$2:$C$807=$A485)*(dataset!$I$2:$I$807&lt;&gt;"")),"")</f>
        <v/>
      </c>
      <c r="G485" s="3">
        <f>IFERROR(SUMPRODUCT((dataset!$C$2:$C$807=$A485)*dataset!$J$2:$J$807)/SUMPRODUCT((dataset!$C$2:$C$807=$A485)*(dataset!$J$2:$J$807&lt;&gt;"")),"")</f>
        <v/>
      </c>
    </row>
    <row r="486">
      <c r="A486" s="2" t="inlineStr">
        <is>
          <t>Yuki Hayashi</t>
        </is>
      </c>
      <c r="B486" s="2">
        <f>SUMPRODUCT(--(dataset!$C$2:$C$807=$A486))</f>
        <v/>
      </c>
      <c r="C486" s="3">
        <f>SUMPRODUCT((dataset!$C$2:$C$807=$A486)*dataset!$B$2:$B$807)/B486</f>
        <v/>
      </c>
      <c r="D486" s="2">
        <f>_xlfn.MINIFS(dataset!$B$2:$B$807,dataset!$C$2:$C$807,$A486)</f>
        <v/>
      </c>
      <c r="E486" s="2">
        <f>_xlfn.MAXIFS(dataset!$B$2:$B$807,dataset!$C$2:$C$807,$A486)</f>
        <v/>
      </c>
      <c r="F486" s="3">
        <f>IFERROR(SUMPRODUCT((dataset!$C$2:$C$807=$A486)*dataset!$I$2:$I$807)/SUMPRODUCT((dataset!$C$2:$C$807=$A486)*(dataset!$I$2:$I$807&lt;&gt;"")),"")</f>
        <v/>
      </c>
      <c r="G486" s="3">
        <f>IFERROR(SUMPRODUCT((dataset!$C$2:$C$807=$A486)*dataset!$J$2:$J$807)/SUMPRODUCT((dataset!$C$2:$C$807=$A486)*(dataset!$J$2:$J$807&lt;&gt;"")),"")</f>
        <v/>
      </c>
    </row>
    <row r="487">
      <c r="A487" s="2" t="inlineStr">
        <is>
          <t>Zequinha de Abreu</t>
        </is>
      </c>
      <c r="B487" s="2">
        <f>SUMPRODUCT(--(dataset!$C$2:$C$807=$A487))</f>
        <v/>
      </c>
      <c r="C487" s="3">
        <f>SUMPRODUCT((dataset!$C$2:$C$807=$A487)*dataset!$B$2:$B$807)/B487</f>
        <v/>
      </c>
      <c r="D487" s="2">
        <f>_xlfn.MINIFS(dataset!$B$2:$B$807,dataset!$C$2:$C$807,$A487)</f>
        <v/>
      </c>
      <c r="E487" s="2">
        <f>_xlfn.MAXIFS(dataset!$B$2:$B$807,dataset!$C$2:$C$807,$A487)</f>
        <v/>
      </c>
      <c r="F487" s="3">
        <f>IFERROR(SUMPRODUCT((dataset!$C$2:$C$807=$A487)*dataset!$I$2:$I$807)/SUMPRODUCT((dataset!$C$2:$C$807=$A487)*(dataset!$I$2:$I$807&lt;&gt;"")),"")</f>
        <v/>
      </c>
      <c r="G487" s="3">
        <f>IFERROR(SUMPRODUCT((dataset!$C$2:$C$807=$A487)*dataset!$J$2:$J$807)/SUMPRODUCT((dataset!$C$2:$C$807=$A487)*(dataset!$J$2:$J$807&lt;&gt;"")),"")</f>
        <v/>
      </c>
    </row>
    <row r="488">
      <c r="A488" s="2" t="inlineStr">
        <is>
          <t>ZUN</t>
        </is>
      </c>
      <c r="B488" s="2">
        <f>SUMPRODUCT(--(dataset!$C$2:$C$807=$A488))</f>
        <v/>
      </c>
      <c r="C488" s="3">
        <f>SUMPRODUCT((dataset!$C$2:$C$807=$A488)*dataset!$B$2:$B$807)/B488</f>
        <v/>
      </c>
      <c r="D488" s="2">
        <f>_xlfn.MINIFS(dataset!$B$2:$B$807,dataset!$C$2:$C$807,$A488)</f>
        <v/>
      </c>
      <c r="E488" s="2">
        <f>_xlfn.MAXIFS(dataset!$B$2:$B$807,dataset!$C$2:$C$807,$A488)</f>
        <v/>
      </c>
      <c r="F488" s="3">
        <f>IFERROR(SUMPRODUCT((dataset!$C$2:$C$807=$A488)*dataset!$I$2:$I$807)/SUMPRODUCT((dataset!$C$2:$C$807=$A488)*(dataset!$I$2:$I$807&lt;&gt;"")),"")</f>
        <v/>
      </c>
      <c r="G488" s="3">
        <f>IFERROR(SUMPRODUCT((dataset!$C$2:$C$807=$A488)*dataset!$J$2:$J$807)/SUMPRODUCT((dataset!$C$2:$C$807=$A488)*(dataset!$J$2:$J$807&lt;&gt;"")),"")</f>
        <v/>
      </c>
    </row>
    <row r="489">
      <c r="A489" s="2" t="inlineStr">
        <is>
          <t>Ακριβή Ανεμογιάννη</t>
        </is>
      </c>
      <c r="B489" s="2">
        <f>SUMPRODUCT(--(dataset!$C$2:$C$807=$A489))</f>
        <v/>
      </c>
      <c r="C489" s="3">
        <f>SUMPRODUCT((dataset!$C$2:$C$807=$A489)*dataset!$B$2:$B$807)/B489</f>
        <v/>
      </c>
      <c r="D489" s="2">
        <f>_xlfn.MINIFS(dataset!$B$2:$B$807,dataset!$C$2:$C$807,$A489)</f>
        <v/>
      </c>
      <c r="E489" s="2">
        <f>_xlfn.MAXIFS(dataset!$B$2:$B$807,dataset!$C$2:$C$807,$A489)</f>
        <v/>
      </c>
      <c r="F489" s="3">
        <f>IFERROR(SUMPRODUCT((dataset!$C$2:$C$807=$A489)*dataset!$I$2:$I$807)/SUMPRODUCT((dataset!$C$2:$C$807=$A489)*(dataset!$I$2:$I$807&lt;&gt;"")),"")</f>
        <v/>
      </c>
      <c r="G489" s="3">
        <f>IFERROR(SUMPRODUCT((dataset!$C$2:$C$807=$A489)*dataset!$J$2:$J$807)/SUMPRODUCT((dataset!$C$2:$C$807=$A489)*(dataset!$J$2:$J$807&lt;&gt;"")),"")</f>
        <v/>
      </c>
    </row>
    <row r="490">
      <c r="A490" s="2" t="inlineStr">
        <is>
          <t>А. В. Александров</t>
        </is>
      </c>
      <c r="B490" s="2">
        <f>SUMPRODUCT(--(dataset!$C$2:$C$807=$A490))</f>
        <v/>
      </c>
      <c r="C490" s="3">
        <f>SUMPRODUCT((dataset!$C$2:$C$807=$A490)*dataset!$B$2:$B$807)/B490</f>
        <v/>
      </c>
      <c r="D490" s="2">
        <f>_xlfn.MINIFS(dataset!$B$2:$B$807,dataset!$C$2:$C$807,$A490)</f>
        <v/>
      </c>
      <c r="E490" s="2">
        <f>_xlfn.MAXIFS(dataset!$B$2:$B$807,dataset!$C$2:$C$807,$A490)</f>
        <v/>
      </c>
      <c r="F490" s="3">
        <f>IFERROR(SUMPRODUCT((dataset!$C$2:$C$807=$A490)*dataset!$I$2:$I$807)/SUMPRODUCT((dataset!$C$2:$C$807=$A490)*(dataset!$I$2:$I$807&lt;&gt;"")),"")</f>
        <v/>
      </c>
      <c r="G490" s="3">
        <f>IFERROR(SUMPRODUCT((dataset!$C$2:$C$807=$A490)*dataset!$J$2:$J$807)/SUMPRODUCT((dataset!$C$2:$C$807=$A490)*(dataset!$J$2:$J$807&lt;&gt;"")),"")</f>
        <v/>
      </c>
    </row>
    <row r="491">
      <c r="A491" s="2" t="inlineStr">
        <is>
          <t>Б. Ф. Кейль</t>
        </is>
      </c>
      <c r="B491" s="2">
        <f>SUMPRODUCT(--(dataset!$C$2:$C$807=$A491))</f>
        <v/>
      </c>
      <c r="C491" s="3">
        <f>SUMPRODUCT((dataset!$C$2:$C$807=$A491)*dataset!$B$2:$B$807)/B491</f>
        <v/>
      </c>
      <c r="D491" s="2">
        <f>_xlfn.MINIFS(dataset!$B$2:$B$807,dataset!$C$2:$C$807,$A491)</f>
        <v/>
      </c>
      <c r="E491" s="2">
        <f>_xlfn.MAXIFS(dataset!$B$2:$B$807,dataset!$C$2:$C$807,$A491)</f>
        <v/>
      </c>
      <c r="F491" s="3">
        <f>IFERROR(SUMPRODUCT((dataset!$C$2:$C$807=$A491)*dataset!$I$2:$I$807)/SUMPRODUCT((dataset!$C$2:$C$807=$A491)*(dataset!$I$2:$I$807&lt;&gt;"")),"")</f>
        <v/>
      </c>
      <c r="G491" s="3">
        <f>IFERROR(SUMPRODUCT((dataset!$C$2:$C$807=$A491)*dataset!$J$2:$J$807)/SUMPRODUCT((dataset!$C$2:$C$807=$A491)*(dataset!$J$2:$J$807&lt;&gt;"")),"")</f>
        <v/>
      </c>
    </row>
    <row r="492">
      <c r="A492" s="2" t="inlineStr">
        <is>
          <t>Борис Фомин</t>
        </is>
      </c>
      <c r="B492" s="2">
        <f>SUMPRODUCT(--(dataset!$C$2:$C$807=$A492))</f>
        <v/>
      </c>
      <c r="C492" s="3">
        <f>SUMPRODUCT((dataset!$C$2:$C$807=$A492)*dataset!$B$2:$B$807)/B492</f>
        <v/>
      </c>
      <c r="D492" s="2">
        <f>_xlfn.MINIFS(dataset!$B$2:$B$807,dataset!$C$2:$C$807,$A492)</f>
        <v/>
      </c>
      <c r="E492" s="2">
        <f>_xlfn.MAXIFS(dataset!$B$2:$B$807,dataset!$C$2:$C$807,$A492)</f>
        <v/>
      </c>
      <c r="F492" s="3">
        <f>IFERROR(SUMPRODUCT((dataset!$C$2:$C$807=$A492)*dataset!$I$2:$I$807)/SUMPRODUCT((dataset!$C$2:$C$807=$A492)*(dataset!$I$2:$I$807&lt;&gt;"")),"")</f>
        <v/>
      </c>
      <c r="G492" s="3">
        <f>IFERROR(SUMPRODUCT((dataset!$C$2:$C$807=$A492)*dataset!$J$2:$J$807)/SUMPRODUCT((dataset!$C$2:$C$807=$A492)*(dataset!$J$2:$J$807&lt;&gt;"")),"")</f>
        <v/>
      </c>
    </row>
    <row r="493">
      <c r="A493" s="2" t="inlineStr">
        <is>
          <t>В. А. Присовский</t>
        </is>
      </c>
      <c r="B493" s="2">
        <f>SUMPRODUCT(--(dataset!$C$2:$C$807=$A493))</f>
        <v/>
      </c>
      <c r="C493" s="3">
        <f>SUMPRODUCT((dataset!$C$2:$C$807=$A493)*dataset!$B$2:$B$807)/B493</f>
        <v/>
      </c>
      <c r="D493" s="2">
        <f>_xlfn.MINIFS(dataset!$B$2:$B$807,dataset!$C$2:$C$807,$A493)</f>
        <v/>
      </c>
      <c r="E493" s="2">
        <f>_xlfn.MAXIFS(dataset!$B$2:$B$807,dataset!$C$2:$C$807,$A493)</f>
        <v/>
      </c>
      <c r="F493" s="3">
        <f>IFERROR(SUMPRODUCT((dataset!$C$2:$C$807=$A493)*dataset!$I$2:$I$807)/SUMPRODUCT((dataset!$C$2:$C$807=$A493)*(dataset!$I$2:$I$807&lt;&gt;"")),"")</f>
        <v/>
      </c>
      <c r="G493" s="3">
        <f>IFERROR(SUMPRODUCT((dataset!$C$2:$C$807=$A493)*dataset!$J$2:$J$807)/SUMPRODUCT((dataset!$C$2:$C$807=$A493)*(dataset!$J$2:$J$807&lt;&gt;"")),"")</f>
        <v/>
      </c>
    </row>
    <row r="494">
      <c r="A494" s="2" t="inlineStr">
        <is>
          <t>Григорий Гладков</t>
        </is>
      </c>
      <c r="B494" s="2">
        <f>SUMPRODUCT(--(dataset!$C$2:$C$807=$A494))</f>
        <v/>
      </c>
      <c r="C494" s="3">
        <f>SUMPRODUCT((dataset!$C$2:$C$807=$A494)*dataset!$B$2:$B$807)/B494</f>
        <v/>
      </c>
      <c r="D494" s="2">
        <f>_xlfn.MINIFS(dataset!$B$2:$B$807,dataset!$C$2:$C$807,$A494)</f>
        <v/>
      </c>
      <c r="E494" s="2">
        <f>_xlfn.MAXIFS(dataset!$B$2:$B$807,dataset!$C$2:$C$807,$A494)</f>
        <v/>
      </c>
      <c r="F494" s="3">
        <f>IFERROR(SUMPRODUCT((dataset!$C$2:$C$807=$A494)*dataset!$I$2:$I$807)/SUMPRODUCT((dataset!$C$2:$C$807=$A494)*(dataset!$I$2:$I$807&lt;&gt;"")),"")</f>
        <v/>
      </c>
      <c r="G494" s="3">
        <f>IFERROR(SUMPRODUCT((dataset!$C$2:$C$807=$A494)*dataset!$J$2:$J$807)/SUMPRODUCT((dataset!$C$2:$C$807=$A494)*(dataset!$J$2:$J$807&lt;&gt;"")),"")</f>
        <v/>
      </c>
    </row>
    <row r="495">
      <c r="A495" s="2" t="inlineStr">
        <is>
          <t>К. Лоншан-Друшкевичова</t>
        </is>
      </c>
      <c r="B495" s="2">
        <f>SUMPRODUCT(--(dataset!$C$2:$C$807=$A495))</f>
        <v/>
      </c>
      <c r="C495" s="3">
        <f>SUMPRODUCT((dataset!$C$2:$C$807=$A495)*dataset!$B$2:$B$807)/B495</f>
        <v/>
      </c>
      <c r="D495" s="2">
        <f>_xlfn.MINIFS(dataset!$B$2:$B$807,dataset!$C$2:$C$807,$A495)</f>
        <v/>
      </c>
      <c r="E495" s="2">
        <f>_xlfn.MAXIFS(dataset!$B$2:$B$807,dataset!$C$2:$C$807,$A495)</f>
        <v/>
      </c>
      <c r="F495" s="3">
        <f>IFERROR(SUMPRODUCT((dataset!$C$2:$C$807=$A495)*dataset!$I$2:$I$807)/SUMPRODUCT((dataset!$C$2:$C$807=$A495)*(dataset!$I$2:$I$807&lt;&gt;"")),"")</f>
        <v/>
      </c>
      <c r="G495" s="3">
        <f>IFERROR(SUMPRODUCT((dataset!$C$2:$C$807=$A495)*dataset!$J$2:$J$807)/SUMPRODUCT((dataset!$C$2:$C$807=$A495)*(dataset!$J$2:$J$807&lt;&gt;"")),"")</f>
        <v/>
      </c>
    </row>
    <row r="496">
      <c r="A496" s="2" t="inlineStr">
        <is>
          <t>Матвей Блантер</t>
        </is>
      </c>
      <c r="B496" s="2">
        <f>SUMPRODUCT(--(dataset!$C$2:$C$807=$A496))</f>
        <v/>
      </c>
      <c r="C496" s="3">
        <f>SUMPRODUCT((dataset!$C$2:$C$807=$A496)*dataset!$B$2:$B$807)/B496</f>
        <v/>
      </c>
      <c r="D496" s="2">
        <f>_xlfn.MINIFS(dataset!$B$2:$B$807,dataset!$C$2:$C$807,$A496)</f>
        <v/>
      </c>
      <c r="E496" s="2">
        <f>_xlfn.MAXIFS(dataset!$B$2:$B$807,dataset!$C$2:$C$807,$A496)</f>
        <v/>
      </c>
      <c r="F496" s="3">
        <f>IFERROR(SUMPRODUCT((dataset!$C$2:$C$807=$A496)*dataset!$I$2:$I$807)/SUMPRODUCT((dataset!$C$2:$C$807=$A496)*(dataset!$I$2:$I$807&lt;&gt;"")),"")</f>
        <v/>
      </c>
      <c r="G496" s="3">
        <f>IFERROR(SUMPRODUCT((dataset!$C$2:$C$807=$A496)*dataset!$J$2:$J$807)/SUMPRODUCT((dataset!$C$2:$C$807=$A496)*(dataset!$J$2:$J$807&lt;&gt;"")),"")</f>
        <v/>
      </c>
    </row>
    <row r="497">
      <c r="A497" s="2" t="inlineStr">
        <is>
          <t>С. Ейбог</t>
        </is>
      </c>
      <c r="B497" s="2">
        <f>SUMPRODUCT(--(dataset!$C$2:$C$807=$A497))</f>
        <v/>
      </c>
      <c r="C497" s="3">
        <f>SUMPRODUCT((dataset!$C$2:$C$807=$A497)*dataset!$B$2:$B$807)/B497</f>
        <v/>
      </c>
      <c r="D497" s="2">
        <f>_xlfn.MINIFS(dataset!$B$2:$B$807,dataset!$C$2:$C$807,$A497)</f>
        <v/>
      </c>
      <c r="E497" s="2">
        <f>_xlfn.MAXIFS(dataset!$B$2:$B$807,dataset!$C$2:$C$807,$A497)</f>
        <v/>
      </c>
      <c r="F497" s="3">
        <f>IFERROR(SUMPRODUCT((dataset!$C$2:$C$807=$A497)*dataset!$I$2:$I$807)/SUMPRODUCT((dataset!$C$2:$C$807=$A497)*(dataset!$I$2:$I$807&lt;&gt;"")),"")</f>
        <v/>
      </c>
      <c r="G497" s="3">
        <f>IFERROR(SUMPRODUCT((dataset!$C$2:$C$807=$A497)*dataset!$J$2:$J$807)/SUMPRODUCT((dataset!$C$2:$C$807=$A497)*(dataset!$J$2:$J$807&lt;&gt;"")),"")</f>
        <v/>
      </c>
    </row>
    <row r="498">
      <c r="A498" s="2" t="inlineStr">
        <is>
          <t>ああああ</t>
        </is>
      </c>
      <c r="B498" s="2">
        <f>SUMPRODUCT(--(dataset!$C$2:$C$807=$A498))</f>
        <v/>
      </c>
      <c r="C498" s="3">
        <f>SUMPRODUCT((dataset!$C$2:$C$807=$A498)*dataset!$B$2:$B$807)/B498</f>
        <v/>
      </c>
      <c r="D498" s="2">
        <f>_xlfn.MINIFS(dataset!$B$2:$B$807,dataset!$C$2:$C$807,$A498)</f>
        <v/>
      </c>
      <c r="E498" s="2">
        <f>_xlfn.MAXIFS(dataset!$B$2:$B$807,dataset!$C$2:$C$807,$A498)</f>
        <v/>
      </c>
      <c r="F498" s="3">
        <f>IFERROR(SUMPRODUCT((dataset!$C$2:$C$807=$A498)*dataset!$I$2:$I$807)/SUMPRODUCT((dataset!$C$2:$C$807=$A498)*(dataset!$I$2:$I$807&lt;&gt;"")),"")</f>
        <v/>
      </c>
      <c r="G498" s="3">
        <f>IFERROR(SUMPRODUCT((dataset!$C$2:$C$807=$A498)*dataset!$J$2:$J$807)/SUMPRODUCT((dataset!$C$2:$C$807=$A498)*(dataset!$J$2:$J$807&lt;&gt;"")),"")</f>
        <v/>
      </c>
    </row>
    <row r="499">
      <c r="A499" s="2" t="inlineStr">
        <is>
          <t>容祖兒</t>
        </is>
      </c>
      <c r="B499" s="2">
        <f>SUMPRODUCT(--(dataset!$C$2:$C$807=$A499))</f>
        <v/>
      </c>
      <c r="C499" s="3">
        <f>SUMPRODUCT((dataset!$C$2:$C$807=$A499)*dataset!$B$2:$B$807)/B499</f>
        <v/>
      </c>
      <c r="D499" s="2">
        <f>_xlfn.MINIFS(dataset!$B$2:$B$807,dataset!$C$2:$C$807,$A499)</f>
        <v/>
      </c>
      <c r="E499" s="2">
        <f>_xlfn.MAXIFS(dataset!$B$2:$B$807,dataset!$C$2:$C$807,$A499)</f>
        <v/>
      </c>
      <c r="F499" s="3">
        <f>IFERROR(SUMPRODUCT((dataset!$C$2:$C$807=$A499)*dataset!$I$2:$I$807)/SUMPRODUCT((dataset!$C$2:$C$807=$A499)*(dataset!$I$2:$I$807&lt;&gt;"")),"")</f>
        <v/>
      </c>
      <c r="G499" s="3">
        <f>IFERROR(SUMPRODUCT((dataset!$C$2:$C$807=$A499)*dataset!$J$2:$J$807)/SUMPRODUCT((dataset!$C$2:$C$807=$A499)*(dataset!$J$2:$J$807&lt;&gt;"")),"")</f>
        <v/>
      </c>
    </row>
    <row r="500">
      <c r="A500" s="2" t="inlineStr">
        <is>
          <t>林俊杰</t>
        </is>
      </c>
      <c r="B500" s="2">
        <f>SUMPRODUCT(--(dataset!$C$2:$C$807=$A500))</f>
        <v/>
      </c>
      <c r="C500" s="3">
        <f>SUMPRODUCT((dataset!$C$2:$C$807=$A500)*dataset!$B$2:$B$807)/B500</f>
        <v/>
      </c>
      <c r="D500" s="2">
        <f>_xlfn.MINIFS(dataset!$B$2:$B$807,dataset!$C$2:$C$807,$A500)</f>
        <v/>
      </c>
      <c r="E500" s="2">
        <f>_xlfn.MAXIFS(dataset!$B$2:$B$807,dataset!$C$2:$C$807,$A500)</f>
        <v/>
      </c>
      <c r="F500" s="3">
        <f>IFERROR(SUMPRODUCT((dataset!$C$2:$C$807=$A500)*dataset!$I$2:$I$807)/SUMPRODUCT((dataset!$C$2:$C$807=$A500)*(dataset!$I$2:$I$807&lt;&gt;"")),"")</f>
        <v/>
      </c>
      <c r="G500" s="3">
        <f>IFERROR(SUMPRODUCT((dataset!$C$2:$C$807=$A500)*dataset!$J$2:$J$807)/SUMPRODUCT((dataset!$C$2:$C$807=$A500)*(dataset!$J$2:$J$807&lt;&gt;"")),"")</f>
        <v/>
      </c>
    </row>
    <row r="501">
      <c r="A501" s="2" t="inlineStr">
        <is>
          <t>柊昇華/サブチャンネル</t>
        </is>
      </c>
      <c r="B501" s="2">
        <f>SUMPRODUCT(--(dataset!$C$2:$C$807=$A501))</f>
        <v/>
      </c>
      <c r="C501" s="3">
        <f>SUMPRODUCT((dataset!$C$2:$C$807=$A501)*dataset!$B$2:$B$807)/B501</f>
        <v/>
      </c>
      <c r="D501" s="2">
        <f>_xlfn.MINIFS(dataset!$B$2:$B$807,dataset!$C$2:$C$807,$A501)</f>
        <v/>
      </c>
      <c r="E501" s="2">
        <f>_xlfn.MAXIFS(dataset!$B$2:$B$807,dataset!$C$2:$C$807,$A501)</f>
        <v/>
      </c>
      <c r="F501" s="3">
        <f>IFERROR(SUMPRODUCT((dataset!$C$2:$C$807=$A501)*dataset!$I$2:$I$807)/SUMPRODUCT((dataset!$C$2:$C$807=$A501)*(dataset!$I$2:$I$807&lt;&gt;"")),"")</f>
        <v/>
      </c>
      <c r="G501" s="3">
        <f>IFERROR(SUMPRODUCT((dataset!$C$2:$C$807=$A501)*dataset!$J$2:$J$807)/SUMPRODUCT((dataset!$C$2:$C$807=$A501)*(dataset!$J$2:$J$807&lt;&gt;"")),"")</f>
        <v/>
      </c>
    </row>
    <row r="502">
      <c r="A502" s="2" t="inlineStr">
        <is>
          <t>菊谷知樹</t>
        </is>
      </c>
      <c r="B502" s="2">
        <f>SUMPRODUCT(--(dataset!$C$2:$C$807=$A502))</f>
        <v/>
      </c>
      <c r="C502" s="3">
        <f>SUMPRODUCT((dataset!$C$2:$C$807=$A502)*dataset!$B$2:$B$807)/B502</f>
        <v/>
      </c>
      <c r="D502" s="2">
        <f>_xlfn.MINIFS(dataset!$B$2:$B$807,dataset!$C$2:$C$807,$A502)</f>
        <v/>
      </c>
      <c r="E502" s="2">
        <f>_xlfn.MAXIFS(dataset!$B$2:$B$807,dataset!$C$2:$C$807,$A502)</f>
        <v/>
      </c>
      <c r="F502" s="3">
        <f>IFERROR(SUMPRODUCT((dataset!$C$2:$C$807=$A502)*dataset!$I$2:$I$807)/SUMPRODUCT((dataset!$C$2:$C$807=$A502)*(dataset!$I$2:$I$807&lt;&gt;"")),"")</f>
        <v/>
      </c>
      <c r="G502" s="3">
        <f>IFERROR(SUMPRODUCT((dataset!$C$2:$C$807=$A502)*dataset!$J$2:$J$807)/SUMPRODUCT((dataset!$C$2:$C$807=$A502)*(dataset!$J$2:$J$807&lt;&gt;"")),"")</f>
        <v/>
      </c>
    </row>
    <row r="503">
      <c r="A503" s="2" t="inlineStr">
        <is>
          <t>蔡新泽</t>
        </is>
      </c>
      <c r="B503" s="2">
        <f>SUMPRODUCT(--(dataset!$C$2:$C$807=$A503))</f>
        <v/>
      </c>
      <c r="C503" s="3">
        <f>SUMPRODUCT((dataset!$C$2:$C$807=$A503)*dataset!$B$2:$B$807)/B503</f>
        <v/>
      </c>
      <c r="D503" s="2">
        <f>_xlfn.MINIFS(dataset!$B$2:$B$807,dataset!$C$2:$C$807,$A503)</f>
        <v/>
      </c>
      <c r="E503" s="2">
        <f>_xlfn.MAXIFS(dataset!$B$2:$B$807,dataset!$C$2:$C$807,$A503)</f>
        <v/>
      </c>
      <c r="F503" s="3">
        <f>IFERROR(SUMPRODUCT((dataset!$C$2:$C$807=$A503)*dataset!$I$2:$I$807)/SUMPRODUCT((dataset!$C$2:$C$807=$A503)*(dataset!$I$2:$I$807&lt;&gt;"")),"")</f>
        <v/>
      </c>
      <c r="G503" s="3">
        <f>IFERROR(SUMPRODUCT((dataset!$C$2:$C$807=$A503)*dataset!$J$2:$J$807)/SUMPRODUCT((dataset!$C$2:$C$807=$A503)*(dataset!$J$2:$J$807&lt;&gt;"")),"")</f>
        <v/>
      </c>
    </row>
    <row r="504">
      <c r="A504" s="2" t="inlineStr">
        <is>
          <t>鄧紫棋</t>
        </is>
      </c>
      <c r="B504" s="2">
        <f>SUMPRODUCT(--(dataset!$C$2:$C$807=$A504))</f>
        <v/>
      </c>
      <c r="C504" s="3">
        <f>SUMPRODUCT((dataset!$C$2:$C$807=$A504)*dataset!$B$2:$B$807)/B504</f>
        <v/>
      </c>
      <c r="D504" s="2">
        <f>_xlfn.MINIFS(dataset!$B$2:$B$807,dataset!$C$2:$C$807,$A504)</f>
        <v/>
      </c>
      <c r="E504" s="2">
        <f>_xlfn.MAXIFS(dataset!$B$2:$B$807,dataset!$C$2:$C$807,$A504)</f>
        <v/>
      </c>
      <c r="F504" s="3">
        <f>IFERROR(SUMPRODUCT((dataset!$C$2:$C$807=$A504)*dataset!$I$2:$I$807)/SUMPRODUCT((dataset!$C$2:$C$807=$A504)*(dataset!$I$2:$I$807&lt;&gt;"")),"")</f>
        <v/>
      </c>
      <c r="G504" s="3">
        <f>IFERROR(SUMPRODUCT((dataset!$C$2:$C$807=$A504)*dataset!$J$2:$J$807)/SUMPRODUCT((dataset!$C$2:$C$807=$A504)*(dataset!$J$2:$J$807&lt;&gt;"")),"")</f>
        <v/>
      </c>
    </row>
    <row r="505">
      <c r="A505" s="2" t="inlineStr">
        <is>
          <t>방탄소년단</t>
        </is>
      </c>
      <c r="B505" s="2">
        <f>SUMPRODUCT(--(dataset!$C$2:$C$807=$A505))</f>
        <v/>
      </c>
      <c r="C505" s="3">
        <f>SUMPRODUCT((dataset!$C$2:$C$807=$A505)*dataset!$B$2:$B$807)/B505</f>
        <v/>
      </c>
      <c r="D505" s="2">
        <f>_xlfn.MINIFS(dataset!$B$2:$B$807,dataset!$C$2:$C$807,$A505)</f>
        <v/>
      </c>
      <c r="E505" s="2">
        <f>_xlfn.MAXIFS(dataset!$B$2:$B$807,dataset!$C$2:$C$807,$A505)</f>
        <v/>
      </c>
      <c r="F505" s="3">
        <f>IFERROR(SUMPRODUCT((dataset!$C$2:$C$807=$A505)*dataset!$I$2:$I$807)/SUMPRODUCT((dataset!$C$2:$C$807=$A505)*(dataset!$I$2:$I$807&lt;&gt;"")),"")</f>
        <v/>
      </c>
      <c r="G505" s="3">
        <f>IFERROR(SUMPRODUCT((dataset!$C$2:$C$807=$A505)*dataset!$J$2:$J$807)/SUMPRODUCT((dataset!$C$2:$C$807=$A505)*(dataset!$J$2:$J$807&lt;&gt;"")),"")</f>
        <v/>
      </c>
    </row>
    <row r="506">
      <c r="A506" s="2" t="inlineStr">
        <is>
          <t>이수겠지</t>
        </is>
      </c>
      <c r="B506" s="2">
        <f>SUMPRODUCT(--(dataset!$C$2:$C$807=$A506))</f>
        <v/>
      </c>
      <c r="C506" s="3">
        <f>SUMPRODUCT((dataset!$C$2:$C$807=$A506)*dataset!$B$2:$B$807)/B506</f>
        <v/>
      </c>
      <c r="D506" s="2">
        <f>_xlfn.MINIFS(dataset!$B$2:$B$807,dataset!$C$2:$C$807,$A506)</f>
        <v/>
      </c>
      <c r="E506" s="2">
        <f>_xlfn.MAXIFS(dataset!$B$2:$B$807,dataset!$C$2:$C$807,$A506)</f>
        <v/>
      </c>
      <c r="F506" s="3">
        <f>IFERROR(SUMPRODUCT((dataset!$C$2:$C$807=$A506)*dataset!$I$2:$I$807)/SUMPRODUCT((dataset!$C$2:$C$807=$A506)*(dataset!$I$2:$I$807&lt;&gt;"")),"")</f>
        <v/>
      </c>
      <c r="G506" s="3">
        <f>IFERROR(SUMPRODUCT((dataset!$C$2:$C$807=$A506)*dataset!$J$2:$J$807)/SUMPRODUCT((dataset!$C$2:$C$807=$A506)*(dataset!$J$2:$J$807&lt;&gt;"")),"")</f>
        <v/>
      </c>
    </row>
  </sheetData>
  <autoFilter ref="A1:G5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34" customWidth="1" min="3" max="3"/>
    <col width="8" customWidth="1" min="4" max="4"/>
  </cols>
  <sheetData>
    <row r="1">
      <c r="A1" s="1" t="inlineStr">
        <is>
          <t>composer (source)</t>
        </is>
      </c>
      <c r="B1" s="1" t="inlineStr">
        <is>
          <t>composer (unified)</t>
        </is>
      </c>
      <c r="C1" s="1" t="inlineStr">
        <is>
          <t>change</t>
        </is>
      </c>
      <c r="D1" s="1" t="inlineStr">
        <is>
          <t>rows</t>
        </is>
      </c>
    </row>
    <row r="2">
      <c r="A2" s="2" t="inlineStr">
        <is>
          <t>A. H. Pease</t>
        </is>
      </c>
      <c r="B2" s="2" t="inlineStr">
        <is>
          <t>A. H. Pease</t>
        </is>
      </c>
      <c r="C2" s="2" t="inlineStr">
        <is>
          <t>kept</t>
        </is>
      </c>
      <c r="D2" s="2" t="n">
        <v>1</v>
      </c>
    </row>
    <row r="3">
      <c r="A3" s="2" t="inlineStr">
        <is>
          <t>A. Miscioscia</t>
        </is>
      </c>
      <c r="B3" s="2" t="inlineStr">
        <is>
          <t>A. Miscioscia</t>
        </is>
      </c>
      <c r="C3" s="2" t="inlineStr">
        <is>
          <t>kept</t>
        </is>
      </c>
      <c r="D3" s="2" t="n">
        <v>1</v>
      </c>
    </row>
    <row r="4">
      <c r="A4" s="2" t="inlineStr">
        <is>
          <t>A.Parisi</t>
        </is>
      </c>
      <c r="B4" s="2" t="inlineStr">
        <is>
          <t>A. Parisi</t>
        </is>
      </c>
      <c r="C4" s="2" t="inlineStr">
        <is>
          <t>normalized</t>
        </is>
      </c>
      <c r="D4" s="2" t="n">
        <v>1</v>
      </c>
    </row>
    <row r="5">
      <c r="A5" s="2" t="inlineStr">
        <is>
          <t>A. Pieczonka</t>
        </is>
      </c>
      <c r="B5" s="2" t="inlineStr">
        <is>
          <t>A. Pieczonka</t>
        </is>
      </c>
      <c r="C5" s="2" t="inlineStr">
        <is>
          <t>kept</t>
        </is>
      </c>
      <c r="D5" s="2" t="n">
        <v>1</v>
      </c>
    </row>
    <row r="6">
      <c r="A6" s="2" t="inlineStr">
        <is>
          <t>A.R. Härle</t>
        </is>
      </c>
      <c r="B6" s="2" t="inlineStr">
        <is>
          <t>A.R. Härle</t>
        </is>
      </c>
      <c r="C6" s="2" t="inlineStr">
        <is>
          <t>kept</t>
        </is>
      </c>
      <c r="D6" s="2" t="n">
        <v>1</v>
      </c>
    </row>
    <row r="7">
      <c r="A7" s="2" t="inlineStr">
        <is>
          <t>Adaline Shepherd.</t>
        </is>
      </c>
      <c r="B7" s="2" t="inlineStr">
        <is>
          <t>Adaline Shepherd</t>
        </is>
      </c>
      <c r="C7" s="2" t="inlineStr">
        <is>
          <t>normalized</t>
        </is>
      </c>
      <c r="D7" s="2" t="n">
        <v>1</v>
      </c>
    </row>
    <row r="8">
      <c r="A8" s="2" t="inlineStr">
        <is>
          <t>Adele</t>
        </is>
      </c>
      <c r="B8" s="2" t="inlineStr">
        <is>
          <t>Adele</t>
        </is>
      </c>
      <c r="C8" s="2" t="inlineStr">
        <is>
          <t>kept</t>
        </is>
      </c>
      <c r="D8" s="2" t="n">
        <v>1</v>
      </c>
    </row>
    <row r="9">
      <c r="A9" s="2" t="inlineStr">
        <is>
          <t>Aidan Clanton</t>
        </is>
      </c>
      <c r="B9" s="2" t="inlineStr">
        <is>
          <t>Aidan Clanton</t>
        </is>
      </c>
      <c r="C9" s="2" t="inlineStr">
        <is>
          <t>kept</t>
        </is>
      </c>
      <c r="D9" s="2" t="n">
        <v>2</v>
      </c>
    </row>
    <row r="10">
      <c r="A10" s="2" t="inlineStr">
        <is>
          <t>Aiden James</t>
        </is>
      </c>
      <c r="B10" s="2" t="inlineStr">
        <is>
          <t>Aiden James</t>
        </is>
      </c>
      <c r="C10" s="2" t="inlineStr">
        <is>
          <t>kept</t>
        </is>
      </c>
      <c r="D10" s="2" t="n">
        <v>1</v>
      </c>
    </row>
    <row r="11">
      <c r="A11" s="2" t="inlineStr">
        <is>
          <t>Alan Menken</t>
        </is>
      </c>
      <c r="B11" s="2" t="inlineStr">
        <is>
          <t>Alan Menken</t>
        </is>
      </c>
      <c r="C11" s="2" t="inlineStr">
        <is>
          <t>kept</t>
        </is>
      </c>
      <c r="D11" s="2" t="n">
        <v>1</v>
      </c>
    </row>
    <row r="12">
      <c r="A12" s="2" t="inlineStr">
        <is>
          <t>Alan Parker</t>
        </is>
      </c>
      <c r="B12" s="2" t="inlineStr">
        <is>
          <t>Alan Parker</t>
        </is>
      </c>
      <c r="C12" s="2" t="inlineStr">
        <is>
          <t>kept</t>
        </is>
      </c>
      <c r="D12" s="2" t="n">
        <v>1</v>
      </c>
    </row>
    <row r="13">
      <c r="A13" s="2" t="inlineStr">
        <is>
          <t>Alan Silvestri</t>
        </is>
      </c>
      <c r="B13" s="2" t="inlineStr">
        <is>
          <t>Alan Silvestri</t>
        </is>
      </c>
      <c r="C13" s="2" t="inlineStr">
        <is>
          <t>kept</t>
        </is>
      </c>
      <c r="D13" s="2" t="n">
        <v>1</v>
      </c>
    </row>
    <row r="14">
      <c r="A14" s="2" t="inlineStr">
        <is>
          <t>Alan Walker</t>
        </is>
      </c>
      <c r="B14" s="2" t="inlineStr">
        <is>
          <t>Alan Walker</t>
        </is>
      </c>
      <c r="C14" s="2" t="inlineStr">
        <is>
          <t>kept</t>
        </is>
      </c>
      <c r="D14" s="2" t="n">
        <v>1</v>
      </c>
    </row>
    <row r="15">
      <c r="A15" s="2" t="inlineStr">
        <is>
          <t>alan walker</t>
        </is>
      </c>
      <c r="B15" s="2" t="inlineStr">
        <is>
          <t>Alan Walker</t>
        </is>
      </c>
      <c r="C15" s="2" t="inlineStr">
        <is>
          <t>normalized</t>
        </is>
      </c>
      <c r="D15" s="2" t="n">
        <v>1</v>
      </c>
    </row>
    <row r="16">
      <c r="A16" s="2" t="inlineStr">
        <is>
          <t>Rousseau Rewritten by YoursPride</t>
        </is>
      </c>
      <c r="B16" s="2" t="inlineStr">
        <is>
          <t>Alan Walker</t>
        </is>
      </c>
      <c r="C16" s="2" t="inlineStr">
        <is>
          <t>composer from score credits</t>
        </is>
      </c>
      <c r="D16" s="2" t="n">
        <v>1</v>
      </c>
    </row>
    <row r="17">
      <c r="A17" s="2" t="inlineStr">
        <is>
          <t>Albert W. Ketèlbey</t>
        </is>
      </c>
      <c r="B17" s="2" t="inlineStr">
        <is>
          <t>Albert W. Ketèlbey</t>
        </is>
      </c>
      <c r="C17" s="2" t="inlineStr">
        <is>
          <t>kept</t>
        </is>
      </c>
      <c r="D17" s="2" t="n">
        <v>1</v>
      </c>
    </row>
    <row r="18">
      <c r="A18" s="2" t="inlineStr">
        <is>
          <t>Alberto Kollman</t>
        </is>
      </c>
      <c r="B18" s="2" t="inlineStr">
        <is>
          <t>Alberto Kollman</t>
        </is>
      </c>
      <c r="C18" s="2" t="inlineStr">
        <is>
          <t>kept</t>
        </is>
      </c>
      <c r="D18" s="2" t="n">
        <v>1</v>
      </c>
    </row>
    <row r="19">
      <c r="A19" s="2" t="inlineStr">
        <is>
          <t>Alex Turnip</t>
        </is>
      </c>
      <c r="B19" s="2" t="inlineStr">
        <is>
          <t>Alex Turnip</t>
        </is>
      </c>
      <c r="C19" s="2" t="inlineStr">
        <is>
          <t>kept</t>
        </is>
      </c>
      <c r="D19" s="2" t="n">
        <v>1</v>
      </c>
    </row>
    <row r="20">
      <c r="A20" s="2" t="inlineStr">
        <is>
          <t>Alexander Porfirevich Borodin</t>
        </is>
      </c>
      <c r="B20" s="2" t="inlineStr">
        <is>
          <t>Alexander Borodin</t>
        </is>
      </c>
      <c r="C20" s="2" t="inlineStr">
        <is>
          <t>normalized</t>
        </is>
      </c>
      <c r="D20" s="2" t="n">
        <v>1</v>
      </c>
    </row>
    <row r="21">
      <c r="A21" s="2" t="inlineStr">
        <is>
          <t>A.Goedicke</t>
        </is>
      </c>
      <c r="B21" s="2" t="inlineStr">
        <is>
          <t>Alexander Goedicke</t>
        </is>
      </c>
      <c r="C21" s="2" t="inlineStr">
        <is>
          <t>normalized</t>
        </is>
      </c>
      <c r="D21" s="2" t="n">
        <v>1</v>
      </c>
    </row>
    <row r="22">
      <c r="A22" s="2" t="inlineStr">
        <is>
          <t>(Alexander Maloof.)</t>
        </is>
      </c>
      <c r="B22" s="2" t="inlineStr">
        <is>
          <t>Alexander Maloof</t>
        </is>
      </c>
      <c r="C22" s="2" t="inlineStr">
        <is>
          <t>normalized</t>
        </is>
      </c>
      <c r="D22" s="2" t="n">
        <v>1</v>
      </c>
    </row>
    <row r="23">
      <c r="A23" s="2" t="inlineStr">
        <is>
          <t>Alexander Pahssen</t>
        </is>
      </c>
      <c r="B23" s="2" t="inlineStr">
        <is>
          <t>Alexander Pahssen</t>
        </is>
      </c>
      <c r="C23" s="2" t="inlineStr">
        <is>
          <t>kept</t>
        </is>
      </c>
      <c r="D23" s="2" t="n">
        <v>1</v>
      </c>
    </row>
    <row r="24">
      <c r="A24" s="2" t="inlineStr">
        <is>
          <t>Alexander Schmitt</t>
        </is>
      </c>
      <c r="B24" s="2" t="inlineStr">
        <is>
          <t>Alexander Schmitt</t>
        </is>
      </c>
      <c r="C24" s="2" t="inlineStr">
        <is>
          <t>kept</t>
        </is>
      </c>
      <c r="D24" s="2" t="n">
        <v>1</v>
      </c>
    </row>
    <row r="25">
      <c r="A25" s="2" t="inlineStr">
        <is>
          <t>(empty)</t>
        </is>
      </c>
      <c r="B25" s="2" t="inlineStr">
        <is>
          <t>Alexander Scriabin</t>
        </is>
      </c>
      <c r="C25" s="2" t="inlineStr">
        <is>
          <t>filled (musicxml credits / score title)</t>
        </is>
      </c>
      <c r="D25" s="2" t="n">
        <v>4</v>
      </c>
    </row>
    <row r="26">
      <c r="A26" s="2" t="inlineStr">
        <is>
          <t>Alexandre Desplat</t>
        </is>
      </c>
      <c r="B26" s="2" t="inlineStr">
        <is>
          <t>Alexandre Desplat</t>
        </is>
      </c>
      <c r="C26" s="2" t="inlineStr">
        <is>
          <t>kept</t>
        </is>
      </c>
      <c r="D26" s="2" t="n">
        <v>1</v>
      </c>
    </row>
    <row r="27">
      <c r="A27" s="2" t="inlineStr">
        <is>
          <t>Amanda Brummett</t>
        </is>
      </c>
      <c r="B27" s="2" t="inlineStr">
        <is>
          <t>Amanda Brummett</t>
        </is>
      </c>
      <c r="C27" s="2" t="inlineStr">
        <is>
          <t>kept</t>
        </is>
      </c>
      <c r="D27" s="2" t="n">
        <v>1</v>
      </c>
    </row>
    <row r="28">
      <c r="A28" s="2" t="inlineStr">
        <is>
          <t>Andreas Illiger</t>
        </is>
      </c>
      <c r="B28" s="2" t="inlineStr">
        <is>
          <t>Andreas Illiger</t>
        </is>
      </c>
      <c r="C28" s="2" t="inlineStr">
        <is>
          <t>kept</t>
        </is>
      </c>
      <c r="D28" s="2" t="n">
        <v>1</v>
      </c>
    </row>
    <row r="29">
      <c r="A29" s="2" t="inlineStr">
        <is>
          <t>Andrew G. Webberley</t>
        </is>
      </c>
      <c r="B29" s="2" t="inlineStr">
        <is>
          <t>Andrew G. Webberley</t>
        </is>
      </c>
      <c r="C29" s="2" t="inlineStr">
        <is>
          <t>kept</t>
        </is>
      </c>
      <c r="D29" s="2" t="n">
        <v>1</v>
      </c>
    </row>
    <row r="30">
      <c r="A30" s="2" t="inlineStr">
        <is>
          <t>Anthony Karas</t>
        </is>
      </c>
      <c r="B30" s="2" t="inlineStr">
        <is>
          <t>Anthony Karas</t>
        </is>
      </c>
      <c r="C30" s="2" t="inlineStr">
        <is>
          <t>kept</t>
        </is>
      </c>
      <c r="D30" s="2" t="n">
        <v>1</v>
      </c>
    </row>
    <row r="31">
      <c r="A31" s="2" t="inlineStr">
        <is>
          <t>Anthony Lama</t>
        </is>
      </c>
      <c r="B31" s="2" t="inlineStr">
        <is>
          <t>Anthony Lama</t>
        </is>
      </c>
      <c r="C31" s="2" t="inlineStr">
        <is>
          <t>kept</t>
        </is>
      </c>
      <c r="D31" s="2" t="n">
        <v>1</v>
      </c>
    </row>
    <row r="32">
      <c r="A32" s="2" t="inlineStr">
        <is>
          <t>Anthony Swindall</t>
        </is>
      </c>
      <c r="B32" s="2" t="inlineStr">
        <is>
          <t>Anthony Swindall</t>
        </is>
      </c>
      <c r="C32" s="2" t="inlineStr">
        <is>
          <t>kept</t>
        </is>
      </c>
      <c r="D32" s="2" t="n">
        <v>1</v>
      </c>
    </row>
    <row r="33">
      <c r="A33" s="2" t="inlineStr">
        <is>
          <t>Antonio Cartafalsa</t>
        </is>
      </c>
      <c r="B33" s="2" t="inlineStr">
        <is>
          <t>Antonio Cartafalsa</t>
        </is>
      </c>
      <c r="C33" s="2" t="inlineStr">
        <is>
          <t>kept</t>
        </is>
      </c>
      <c r="D33" s="2" t="n">
        <v>1</v>
      </c>
    </row>
    <row r="34">
      <c r="A34" s="2" t="inlineStr">
        <is>
          <t>A. Vivaldi</t>
        </is>
      </c>
      <c r="B34" s="2" t="inlineStr">
        <is>
          <t>Antonio Vivaldi</t>
        </is>
      </c>
      <c r="C34" s="2" t="inlineStr">
        <is>
          <t>normalized</t>
        </is>
      </c>
      <c r="D34" s="2" t="n">
        <v>1</v>
      </c>
    </row>
    <row r="35">
      <c r="A35" s="2" t="inlineStr">
        <is>
          <t>Antonio Vivaldi</t>
        </is>
      </c>
      <c r="B35" s="2" t="inlineStr">
        <is>
          <t>Antonio Vivaldi</t>
        </is>
      </c>
      <c r="C35" s="2" t="inlineStr">
        <is>
          <t>kept</t>
        </is>
      </c>
      <c r="D35" s="2" t="n">
        <v>1</v>
      </c>
    </row>
    <row r="36">
      <c r="A36" s="2" t="inlineStr">
        <is>
          <t>Archie Ward Scheu</t>
        </is>
      </c>
      <c r="B36" s="2" t="inlineStr">
        <is>
          <t>Archie Ward Scheu</t>
        </is>
      </c>
      <c r="C36" s="2" t="inlineStr">
        <is>
          <t>kept</t>
        </is>
      </c>
      <c r="D36" s="2" t="n">
        <v>1</v>
      </c>
    </row>
    <row r="37">
      <c r="A37" s="2" t="inlineStr">
        <is>
          <t>Ari Pulkkinen</t>
        </is>
      </c>
      <c r="B37" s="2" t="inlineStr">
        <is>
          <t>Ari Pulkkinen</t>
        </is>
      </c>
      <c r="C37" s="2" t="inlineStr">
        <is>
          <t>kept</t>
        </is>
      </c>
      <c r="D37" s="2" t="n">
        <v>1</v>
      </c>
    </row>
    <row r="38">
      <c r="A38" s="2" t="inlineStr">
        <is>
          <t>Ariane Ferraz</t>
        </is>
      </c>
      <c r="B38" s="2" t="inlineStr">
        <is>
          <t>Ariane Ferraz</t>
        </is>
      </c>
      <c r="C38" s="2" t="inlineStr">
        <is>
          <t>kept</t>
        </is>
      </c>
      <c r="D38" s="2" t="n">
        <v>1</v>
      </c>
    </row>
    <row r="39">
      <c r="A39" s="2" t="inlineStr">
        <is>
          <t>Arthur Marshall</t>
        </is>
      </c>
      <c r="B39" s="2" t="inlineStr">
        <is>
          <t>Arthur Marshall</t>
        </is>
      </c>
      <c r="C39" s="2" t="inlineStr">
        <is>
          <t>kept</t>
        </is>
      </c>
      <c r="D39" s="2" t="n">
        <v>1</v>
      </c>
    </row>
    <row r="40">
      <c r="A40" s="2" t="inlineStr">
        <is>
          <t>Arthur Schutt</t>
        </is>
      </c>
      <c r="B40" s="2" t="inlineStr">
        <is>
          <t>Arthur Schutt</t>
        </is>
      </c>
      <c r="C40" s="2" t="inlineStr">
        <is>
          <t>kept</t>
        </is>
      </c>
      <c r="D40" s="2" t="n">
        <v>3</v>
      </c>
    </row>
    <row r="41">
      <c r="A41" s="2" t="inlineStr">
        <is>
          <t>Arthur Schutt.</t>
        </is>
      </c>
      <c r="B41" s="2" t="inlineStr">
        <is>
          <t>Arthur Schutt</t>
        </is>
      </c>
      <c r="C41" s="2" t="inlineStr">
        <is>
          <t>normalized</t>
        </is>
      </c>
      <c r="D41" s="2" t="n">
        <v>1</v>
      </c>
    </row>
    <row r="42">
      <c r="A42" s="2" t="inlineStr">
        <is>
          <t>Aspect Zero</t>
        </is>
      </c>
      <c r="B42" s="2" t="inlineStr">
        <is>
          <t>Aspect Zero</t>
        </is>
      </c>
      <c r="C42" s="2" t="inlineStr">
        <is>
          <t>kept</t>
        </is>
      </c>
      <c r="D42" s="2" t="n">
        <v>1</v>
      </c>
    </row>
    <row r="43">
      <c r="A43" s="2" t="inlineStr">
        <is>
          <t>Orchestra Arrangement By Jband Piano</t>
        </is>
      </c>
      <c r="B43" s="2" t="inlineStr">
        <is>
          <t>Asuka Ohta &amp; Ryo Nagamatsu</t>
        </is>
      </c>
      <c r="C43" s="2" t="inlineStr">
        <is>
          <t>composer from score credits</t>
        </is>
      </c>
      <c r="D43" s="2" t="n">
        <v>1</v>
      </c>
    </row>
    <row r="44">
      <c r="A44" s="2" t="inlineStr">
        <is>
          <t>Ryo Nagamatsu Asuka Ota</t>
        </is>
      </c>
      <c r="B44" s="2" t="inlineStr">
        <is>
          <t>Asuka Ohta &amp; Ryo Nagamatsu</t>
        </is>
      </c>
      <c r="C44" s="2" t="inlineStr">
        <is>
          <t>normalized</t>
        </is>
      </c>
      <c r="D44" s="2" t="n">
        <v>1</v>
      </c>
    </row>
    <row r="45">
      <c r="A45" s="2" t="inlineStr">
        <is>
          <t>Banjo Paterson</t>
        </is>
      </c>
      <c r="B45" s="2" t="inlineStr">
        <is>
          <t>Banjo Paterson</t>
        </is>
      </c>
      <c r="C45" s="2" t="inlineStr">
        <is>
          <t>kept</t>
        </is>
      </c>
      <c r="D45" s="2" t="n">
        <v>1</v>
      </c>
    </row>
    <row r="46">
      <c r="A46" s="2" t="inlineStr">
        <is>
          <t>Bedřich Smetana</t>
        </is>
      </c>
      <c r="B46" s="2" t="inlineStr">
        <is>
          <t>Bedřich Smetana</t>
        </is>
      </c>
      <c r="C46" s="2" t="inlineStr">
        <is>
          <t>kept</t>
        </is>
      </c>
      <c r="D46" s="2" t="n">
        <v>1</v>
      </c>
    </row>
    <row r="47">
      <c r="A47" s="2" t="inlineStr">
        <is>
          <t>Bianca Giovanella</t>
        </is>
      </c>
      <c r="B47" s="2" t="inlineStr">
        <is>
          <t>Bianca Giovanella</t>
        </is>
      </c>
      <c r="C47" s="2" t="inlineStr">
        <is>
          <t>kept</t>
        </is>
      </c>
      <c r="D47" s="2" t="n">
        <v>1</v>
      </c>
    </row>
    <row r="48">
      <c r="A48" s="2" t="inlineStr">
        <is>
          <t>Bianca Washington</t>
        </is>
      </c>
      <c r="B48" s="2" t="inlineStr">
        <is>
          <t>Bianca Washington</t>
        </is>
      </c>
      <c r="C48" s="2" t="inlineStr">
        <is>
          <t>kept</t>
        </is>
      </c>
      <c r="D48" s="2" t="n">
        <v>1</v>
      </c>
    </row>
    <row r="49">
      <c r="A49" s="2" t="inlineStr">
        <is>
          <t>Billie Eilish</t>
        </is>
      </c>
      <c r="B49" s="2" t="inlineStr">
        <is>
          <t>Billie Eilish</t>
        </is>
      </c>
      <c r="C49" s="2" t="inlineStr">
        <is>
          <t>kept</t>
        </is>
      </c>
      <c r="D49" s="2" t="n">
        <v>1</v>
      </c>
    </row>
    <row r="50">
      <c r="A50" s="2" t="inlineStr">
        <is>
          <t>Billy James</t>
        </is>
      </c>
      <c r="B50" s="2" t="inlineStr">
        <is>
          <t>Billy James</t>
        </is>
      </c>
      <c r="C50" s="2" t="inlineStr">
        <is>
          <t>kept</t>
        </is>
      </c>
      <c r="D50" s="2" t="n">
        <v>1</v>
      </c>
    </row>
    <row r="51">
      <c r="A51" s="2" t="inlineStr">
        <is>
          <t>Billy Talbot</t>
        </is>
      </c>
      <c r="B51" s="2" t="inlineStr">
        <is>
          <t>Billy Talbot</t>
        </is>
      </c>
      <c r="C51" s="2" t="inlineStr">
        <is>
          <t>kept</t>
        </is>
      </c>
      <c r="D51" s="2" t="n">
        <v>1</v>
      </c>
    </row>
    <row r="52">
      <c r="A52" s="2" t="inlineStr">
        <is>
          <t>Brad Beeck</t>
        </is>
      </c>
      <c r="B52" s="2" t="inlineStr">
        <is>
          <t>Brad Breeck</t>
        </is>
      </c>
      <c r="C52" s="2" t="inlineStr">
        <is>
          <t>normalized</t>
        </is>
      </c>
      <c r="D52" s="2" t="n">
        <v>1</v>
      </c>
    </row>
    <row r="53">
      <c r="A53" s="2" t="inlineStr">
        <is>
          <t>Orignal by Brian Parkhurst &amp; Brad Breeck</t>
        </is>
      </c>
      <c r="B53" s="2" t="inlineStr">
        <is>
          <t>Brad Breeck &amp; Brian Parkhurst</t>
        </is>
      </c>
      <c r="C53" s="2" t="inlineStr">
        <is>
          <t>normalized</t>
        </is>
      </c>
      <c r="D53" s="2" t="n">
        <v>1</v>
      </c>
    </row>
    <row r="54">
      <c r="A54" s="2" t="inlineStr">
        <is>
          <t>Braden Jones</t>
        </is>
      </c>
      <c r="B54" s="2" t="inlineStr">
        <is>
          <t>Braden Jones</t>
        </is>
      </c>
      <c r="C54" s="2" t="inlineStr">
        <is>
          <t>kept</t>
        </is>
      </c>
      <c r="D54" s="2" t="n">
        <v>1</v>
      </c>
    </row>
    <row r="55">
      <c r="A55" s="2" t="inlineStr">
        <is>
          <t>Brandyn Silva</t>
        </is>
      </c>
      <c r="B55" s="2" t="inlineStr">
        <is>
          <t>Brandyn Silva</t>
        </is>
      </c>
      <c r="C55" s="2" t="inlineStr">
        <is>
          <t>kept</t>
        </is>
      </c>
      <c r="D55" s="2" t="n">
        <v>1</v>
      </c>
    </row>
    <row r="56">
      <c r="A56" s="2" t="inlineStr">
        <is>
          <t>Bridger Mikolai</t>
        </is>
      </c>
      <c r="B56" s="2" t="inlineStr">
        <is>
          <t>Bridger Mikolai</t>
        </is>
      </c>
      <c r="C56" s="2" t="inlineStr">
        <is>
          <t>kept</t>
        </is>
      </c>
      <c r="D56" s="2" t="n">
        <v>1</v>
      </c>
    </row>
    <row r="57">
      <c r="A57" s="2" t="inlineStr">
        <is>
          <t>Bruce W. Robinson</t>
        </is>
      </c>
      <c r="B57" s="2" t="inlineStr">
        <is>
          <t>Bruce W. Robinson</t>
        </is>
      </c>
      <c r="C57" s="2" t="inlineStr">
        <is>
          <t>kept</t>
        </is>
      </c>
      <c r="D57" s="2" t="n">
        <v>1</v>
      </c>
    </row>
    <row r="58">
      <c r="A58" s="2" t="inlineStr">
        <is>
          <t>Bruno Mars Cardi B Judge Holdem</t>
        </is>
      </c>
      <c r="B58" s="2" t="inlineStr">
        <is>
          <t>Bruno Mars &amp; Cardi B</t>
        </is>
      </c>
      <c r="C58" s="2" t="inlineStr">
        <is>
          <t>normalized</t>
        </is>
      </c>
      <c r="D58" s="2" t="n">
        <v>1</v>
      </c>
    </row>
    <row r="59">
      <c r="A59" s="2" t="inlineStr">
        <is>
          <t>Buddy Grnee</t>
        </is>
      </c>
      <c r="B59" s="2" t="inlineStr">
        <is>
          <t>Buddy Greene</t>
        </is>
      </c>
      <c r="C59" s="2" t="inlineStr">
        <is>
          <t>normalized</t>
        </is>
      </c>
      <c r="D59" s="2" t="n">
        <v>1</v>
      </c>
    </row>
    <row r="60">
      <c r="A60" s="2" t="inlineStr">
        <is>
          <t>C. Duane Crabb</t>
        </is>
      </c>
      <c r="B60" s="2" t="inlineStr">
        <is>
          <t>C. Duane Crabb</t>
        </is>
      </c>
      <c r="C60" s="2" t="inlineStr">
        <is>
          <t>kept</t>
        </is>
      </c>
      <c r="D60" s="2" t="n">
        <v>1</v>
      </c>
    </row>
    <row r="61">
      <c r="A61" s="2" t="inlineStr">
        <is>
          <t>C. Luckyth Roberts</t>
        </is>
      </c>
      <c r="B61" s="2" t="inlineStr">
        <is>
          <t>C. Luckyth Roberts</t>
        </is>
      </c>
      <c r="C61" s="2" t="inlineStr">
        <is>
          <t>kept</t>
        </is>
      </c>
      <c r="D61" s="2" t="n">
        <v>2</v>
      </c>
    </row>
    <row r="62">
      <c r="A62" s="2" t="inlineStr">
        <is>
          <t>Caleb Danielson</t>
        </is>
      </c>
      <c r="B62" s="2" t="inlineStr">
        <is>
          <t>Caleb Danielson</t>
        </is>
      </c>
      <c r="C62" s="2" t="inlineStr">
        <is>
          <t>kept</t>
        </is>
      </c>
      <c r="D62" s="2" t="n">
        <v>1</v>
      </c>
    </row>
    <row r="63">
      <c r="A63" s="2" t="inlineStr">
        <is>
          <t>Cameron McMahon</t>
        </is>
      </c>
      <c r="B63" s="2" t="inlineStr">
        <is>
          <t>Cameron McMahon</t>
        </is>
      </c>
      <c r="C63" s="2" t="inlineStr">
        <is>
          <t>kept</t>
        </is>
      </c>
      <c r="D63" s="2" t="n">
        <v>1</v>
      </c>
    </row>
    <row r="64">
      <c r="A64" s="2" t="inlineStr">
        <is>
          <t>Caramella Girls</t>
        </is>
      </c>
      <c r="B64" s="2" t="inlineStr">
        <is>
          <t>Caramella Girls</t>
        </is>
      </c>
      <c r="C64" s="2" t="inlineStr">
        <is>
          <t>kept</t>
        </is>
      </c>
      <c r="D64" s="2" t="n">
        <v>1</v>
      </c>
    </row>
    <row r="65">
      <c r="A65" s="2" t="inlineStr">
        <is>
          <t>Carl Czerny</t>
        </is>
      </c>
      <c r="B65" s="2" t="inlineStr">
        <is>
          <t>Carl Czerny</t>
        </is>
      </c>
      <c r="C65" s="2" t="inlineStr">
        <is>
          <t>kept</t>
        </is>
      </c>
      <c r="D65" s="2" t="n">
        <v>7</v>
      </c>
    </row>
    <row r="66">
      <c r="A66" s="2" t="inlineStr">
        <is>
          <t>Carl Czerny. Op. 335</t>
        </is>
      </c>
      <c r="B66" s="2" t="inlineStr">
        <is>
          <t>Carl Czerny</t>
        </is>
      </c>
      <c r="C66" s="2" t="inlineStr">
        <is>
          <t>normalized</t>
        </is>
      </c>
      <c r="D66" s="2" t="n">
        <v>1</v>
      </c>
    </row>
    <row r="67">
      <c r="A67" s="2" t="inlineStr">
        <is>
          <t>Carl Lexhoizt</t>
        </is>
      </c>
      <c r="B67" s="2" t="inlineStr">
        <is>
          <t>Carl Lexhoizt</t>
        </is>
      </c>
      <c r="C67" s="2" t="inlineStr">
        <is>
          <t>kept</t>
        </is>
      </c>
      <c r="D67" s="2" t="n">
        <v>1</v>
      </c>
    </row>
    <row r="68">
      <c r="A68" s="2" t="inlineStr">
        <is>
          <t>Carl Nielsen</t>
        </is>
      </c>
      <c r="B68" s="2" t="inlineStr">
        <is>
          <t>Carl Nielsen</t>
        </is>
      </c>
      <c r="C68" s="2" t="inlineStr">
        <is>
          <t>kept</t>
        </is>
      </c>
      <c r="D68" s="2" t="n">
        <v>1</v>
      </c>
    </row>
    <row r="69">
      <c r="A69" s="2" t="inlineStr">
        <is>
          <t>Carl Philipp Emanuel Bach</t>
        </is>
      </c>
      <c r="B69" s="2" t="inlineStr">
        <is>
          <t>Carl Philipp Emanuel Bach</t>
        </is>
      </c>
      <c r="C69" s="2" t="inlineStr">
        <is>
          <t>kept</t>
        </is>
      </c>
      <c r="D69" s="2" t="n">
        <v>1</v>
      </c>
    </row>
    <row r="70">
      <c r="A70" s="2" t="inlineStr">
        <is>
          <t>CPE Bach</t>
        </is>
      </c>
      <c r="B70" s="2" t="inlineStr">
        <is>
          <t>Carl Philipp Emanuel Bach</t>
        </is>
      </c>
      <c r="C70" s="2" t="inlineStr">
        <is>
          <t>normalized</t>
        </is>
      </c>
      <c r="D70" s="2" t="n">
        <v>1</v>
      </c>
    </row>
    <row r="71">
      <c r="A71" s="2" t="inlineStr">
        <is>
          <t>Carlos Hartling</t>
        </is>
      </c>
      <c r="B71" s="2" t="inlineStr">
        <is>
          <t>Carlos Hartling</t>
        </is>
      </c>
      <c r="C71" s="2" t="inlineStr">
        <is>
          <t>kept</t>
        </is>
      </c>
      <c r="D71" s="2" t="n">
        <v>1</v>
      </c>
    </row>
    <row r="72">
      <c r="A72" s="2" t="inlineStr">
        <is>
          <t>Carlos Rubira Infante (Guayaquil, Ecuador 1921)</t>
        </is>
      </c>
      <c r="B72" s="2" t="inlineStr">
        <is>
          <t>Carlos Rubira Infante</t>
        </is>
      </c>
      <c r="C72" s="2" t="inlineStr">
        <is>
          <t>normalized</t>
        </is>
      </c>
      <c r="D72" s="2" t="n">
        <v>1</v>
      </c>
    </row>
    <row r="73">
      <c r="A73" s="2" t="inlineStr">
        <is>
          <t>Carolina Sevciovic Lopes</t>
        </is>
      </c>
      <c r="B73" s="2" t="inlineStr">
        <is>
          <t>Carolina Sevciovic Lopes</t>
        </is>
      </c>
      <c r="C73" s="2" t="inlineStr">
        <is>
          <t>kept</t>
        </is>
      </c>
      <c r="D73" s="2" t="n">
        <v>2</v>
      </c>
    </row>
    <row r="74">
      <c r="A74" s="2" t="inlineStr">
        <is>
          <t>Carrol &amp; Fields</t>
        </is>
      </c>
      <c r="B74" s="2" t="inlineStr">
        <is>
          <t>Carrol &amp; Fields</t>
        </is>
      </c>
      <c r="C74" s="2" t="inlineStr">
        <is>
          <t>kept</t>
        </is>
      </c>
      <c r="D74" s="2" t="n">
        <v>1</v>
      </c>
    </row>
    <row r="75">
      <c r="A75" s="2" t="inlineStr">
        <is>
          <t>Charles Drumheller</t>
        </is>
      </c>
      <c r="B75" s="2" t="inlineStr">
        <is>
          <t>Charles Drumheller</t>
        </is>
      </c>
      <c r="C75" s="2" t="inlineStr">
        <is>
          <t>kept</t>
        </is>
      </c>
      <c r="D75" s="2" t="n">
        <v>1</v>
      </c>
    </row>
    <row r="76">
      <c r="A76" s="2" t="inlineStr">
        <is>
          <t>Charles Hunter</t>
        </is>
      </c>
      <c r="B76" s="2" t="inlineStr">
        <is>
          <t>Charles Hunter</t>
        </is>
      </c>
      <c r="C76" s="2" t="inlineStr">
        <is>
          <t>kept</t>
        </is>
      </c>
      <c r="D76" s="2" t="n">
        <v>1</v>
      </c>
    </row>
    <row r="77">
      <c r="A77" s="2" t="inlineStr">
        <is>
          <t>Charles Smith</t>
        </is>
      </c>
      <c r="B77" s="2" t="inlineStr">
        <is>
          <t>Charles Smith</t>
        </is>
      </c>
      <c r="C77" s="2" t="inlineStr">
        <is>
          <t>kept</t>
        </is>
      </c>
      <c r="D77" s="2" t="n">
        <v>1</v>
      </c>
    </row>
    <row r="78">
      <c r="A78" s="2" t="inlineStr">
        <is>
          <t>Charlotte Blake</t>
        </is>
      </c>
      <c r="B78" s="2" t="inlineStr">
        <is>
          <t>Charlotte Blake</t>
        </is>
      </c>
      <c r="C78" s="2" t="inlineStr">
        <is>
          <t>kept</t>
        </is>
      </c>
      <c r="D78" s="2" t="n">
        <v>1</v>
      </c>
    </row>
    <row r="79">
      <c r="A79" s="2" t="inlineStr">
        <is>
          <t>Chase Omura 2005 - Present</t>
        </is>
      </c>
      <c r="B79" s="2" t="inlineStr">
        <is>
          <t>Chase Omura</t>
        </is>
      </c>
      <c r="C79" s="2" t="inlineStr">
        <is>
          <t>normalized</t>
        </is>
      </c>
      <c r="D79" s="2" t="n">
        <v>1</v>
      </c>
    </row>
    <row r="80">
      <c r="A80" s="2" t="inlineStr">
        <is>
          <t>Chris Benna</t>
        </is>
      </c>
      <c r="B80" s="2" t="inlineStr">
        <is>
          <t>Chris Benna</t>
        </is>
      </c>
      <c r="C80" s="2" t="inlineStr">
        <is>
          <t>kept</t>
        </is>
      </c>
      <c r="D80" s="2" t="n">
        <v>2</v>
      </c>
    </row>
    <row r="81">
      <c r="A81" s="2" t="inlineStr">
        <is>
          <t>Christian Petzold</t>
        </is>
      </c>
      <c r="B81" s="2" t="inlineStr">
        <is>
          <t>Christian Petzold</t>
        </is>
      </c>
      <c r="C81" s="2" t="inlineStr">
        <is>
          <t>kept</t>
        </is>
      </c>
      <c r="D81" s="2" t="n">
        <v>4</v>
      </c>
    </row>
    <row r="82">
      <c r="A82" s="2" t="inlineStr">
        <is>
          <t>Christopher Tin</t>
        </is>
      </c>
      <c r="B82" s="2" t="inlineStr">
        <is>
          <t>Christopher Tin</t>
        </is>
      </c>
      <c r="C82" s="2" t="inlineStr">
        <is>
          <t>kept</t>
        </is>
      </c>
      <c r="D82" s="2" t="n">
        <v>1</v>
      </c>
    </row>
    <row r="83">
      <c r="A83" s="2" t="inlineStr">
        <is>
          <t>Christy Carlson Romano</t>
        </is>
      </c>
      <c r="B83" s="2" t="inlineStr">
        <is>
          <t>Christy Carlson Romano</t>
        </is>
      </c>
      <c r="C83" s="2" t="inlineStr">
        <is>
          <t>kept</t>
        </is>
      </c>
      <c r="D83" s="2" t="n">
        <v>1</v>
      </c>
    </row>
    <row r="84">
      <c r="A84" s="2" t="inlineStr">
        <is>
          <t>Clarence "Pinetop" Smith</t>
        </is>
      </c>
      <c r="B84" s="2" t="inlineStr">
        <is>
          <t>Clarence "Pinetop" Smith</t>
        </is>
      </c>
      <c r="C84" s="2" t="inlineStr">
        <is>
          <t>kept</t>
        </is>
      </c>
      <c r="D84" s="2" t="n">
        <v>1</v>
      </c>
    </row>
    <row r="85">
      <c r="A85" s="2" t="inlineStr">
        <is>
          <t>Clarence “Pine Top” Smith</t>
        </is>
      </c>
      <c r="B85" s="2" t="inlineStr">
        <is>
          <t>Clarence "Pinetop" Smith</t>
        </is>
      </c>
      <c r="C85" s="2" t="inlineStr">
        <is>
          <t>normalized</t>
        </is>
      </c>
      <c r="D85" s="2" t="n">
        <v>1</v>
      </c>
    </row>
    <row r="86">
      <c r="A86" s="2" t="inlineStr">
        <is>
          <t>Clarence Gaskill</t>
        </is>
      </c>
      <c r="B86" s="2" t="inlineStr">
        <is>
          <t>Clarence Gaskill</t>
        </is>
      </c>
      <c r="C86" s="2" t="inlineStr">
        <is>
          <t>kept</t>
        </is>
      </c>
      <c r="D86" s="2" t="n">
        <v>1</v>
      </c>
    </row>
    <row r="87">
      <c r="A87" s="2" t="inlineStr">
        <is>
          <t>Clarence H. St. John</t>
        </is>
      </c>
      <c r="B87" s="2" t="inlineStr">
        <is>
          <t>Clarence H. St. John</t>
        </is>
      </c>
      <c r="C87" s="2" t="inlineStr">
        <is>
          <t>kept</t>
        </is>
      </c>
      <c r="D87" s="2" t="n">
        <v>1</v>
      </c>
    </row>
    <row r="88">
      <c r="A88" s="2" t="inlineStr">
        <is>
          <t>Connor Roper</t>
        </is>
      </c>
      <c r="B88" s="2" t="inlineStr">
        <is>
          <t>Connor Roper</t>
        </is>
      </c>
      <c r="C88" s="2" t="inlineStr">
        <is>
          <t>kept</t>
        </is>
      </c>
      <c r="D88" s="2" t="n">
        <v>1</v>
      </c>
    </row>
    <row r="89">
      <c r="A89" s="2" t="inlineStr">
        <is>
          <t>Cooper Gilbert</t>
        </is>
      </c>
      <c r="B89" s="2" t="inlineStr">
        <is>
          <t>Cooper Gilbert</t>
        </is>
      </c>
      <c r="C89" s="2" t="inlineStr">
        <is>
          <t>kept</t>
        </is>
      </c>
      <c r="D89" s="2" t="n">
        <v>1</v>
      </c>
    </row>
    <row r="90">
      <c r="A90" s="2" t="inlineStr">
        <is>
          <t>Cori Matney</t>
        </is>
      </c>
      <c r="B90" s="2" t="inlineStr">
        <is>
          <t>Cori Matney</t>
        </is>
      </c>
      <c r="C90" s="2" t="inlineStr">
        <is>
          <t>kept</t>
        </is>
      </c>
      <c r="D90" s="2" t="n">
        <v>1</v>
      </c>
    </row>
    <row r="91">
      <c r="A91" s="2" t="inlineStr">
        <is>
          <t>Corrie Huddleston</t>
        </is>
      </c>
      <c r="B91" s="2" t="inlineStr">
        <is>
          <t>Corrie Huddleston</t>
        </is>
      </c>
      <c r="C91" s="2" t="inlineStr">
        <is>
          <t>kept</t>
        </is>
      </c>
      <c r="D91" s="2" t="n">
        <v>1</v>
      </c>
    </row>
    <row r="92">
      <c r="A92" s="2" t="inlineStr">
        <is>
          <t>Cristian D'Arrigo</t>
        </is>
      </c>
      <c r="B92" s="2" t="inlineStr">
        <is>
          <t>Cristian D'Arrigo</t>
        </is>
      </c>
      <c r="C92" s="2" t="inlineStr">
        <is>
          <t>kept</t>
        </is>
      </c>
      <c r="D92" s="2" t="n">
        <v>2</v>
      </c>
    </row>
    <row r="93">
      <c r="A93" s="2" t="inlineStr">
        <is>
          <t>CrystalKat14</t>
        </is>
      </c>
      <c r="B93" s="2" t="inlineStr">
        <is>
          <t>CrystalKat14</t>
        </is>
      </c>
      <c r="C93" s="2" t="inlineStr">
        <is>
          <t>kept</t>
        </is>
      </c>
      <c r="D93" s="2" t="n">
        <v>1</v>
      </c>
    </row>
    <row r="94">
      <c r="A94" s="2" t="inlineStr">
        <is>
          <t>Cécile CHAMINADE</t>
        </is>
      </c>
      <c r="B94" s="2" t="inlineStr">
        <is>
          <t>Cécile Chaminade</t>
        </is>
      </c>
      <c r="C94" s="2" t="inlineStr">
        <is>
          <t>normalized</t>
        </is>
      </c>
      <c r="D94" s="2" t="n">
        <v>1</v>
      </c>
    </row>
    <row r="95">
      <c r="A95" s="2" t="inlineStr">
        <is>
          <t>D-Block &amp; S-te-Fan</t>
        </is>
      </c>
      <c r="B95" s="2" t="inlineStr">
        <is>
          <t>D-Block &amp; S-te-Fan</t>
        </is>
      </c>
      <c r="C95" s="2" t="inlineStr">
        <is>
          <t>kept</t>
        </is>
      </c>
      <c r="D95" s="2" t="n">
        <v>1</v>
      </c>
    </row>
    <row r="96">
      <c r="A96" s="2" t="inlineStr">
        <is>
          <t>D. Kapeliush</t>
        </is>
      </c>
      <c r="B96" s="2" t="inlineStr">
        <is>
          <t>D. Kapeliush</t>
        </is>
      </c>
      <c r="C96" s="2" t="inlineStr">
        <is>
          <t>kept</t>
        </is>
      </c>
      <c r="D96" s="2" t="n">
        <v>1</v>
      </c>
    </row>
    <row r="97">
      <c r="A97" s="2" t="inlineStr">
        <is>
          <t>DaKook</t>
        </is>
      </c>
      <c r="B97" s="2" t="inlineStr">
        <is>
          <t>DaKook</t>
        </is>
      </c>
      <c r="C97" s="2" t="inlineStr">
        <is>
          <t>kept</t>
        </is>
      </c>
      <c r="D97" s="2" t="n">
        <v>1</v>
      </c>
    </row>
    <row r="98">
      <c r="A98" s="2" t="inlineStr">
        <is>
          <t>Damien Gauci 2002 - Present</t>
        </is>
      </c>
      <c r="B98" s="2" t="inlineStr">
        <is>
          <t>Damien Gauci</t>
        </is>
      </c>
      <c r="C98" s="2" t="inlineStr">
        <is>
          <t>normalized</t>
        </is>
      </c>
      <c r="D98" s="2" t="n">
        <v>1</v>
      </c>
    </row>
    <row r="99">
      <c r="A99" s="2" t="inlineStr">
        <is>
          <t>Dan Caslar</t>
        </is>
      </c>
      <c r="B99" s="2" t="inlineStr">
        <is>
          <t>Dan Caslar</t>
        </is>
      </c>
      <c r="C99" s="2" t="inlineStr">
        <is>
          <t>kept</t>
        </is>
      </c>
      <c r="D99" s="2" t="n">
        <v>1</v>
      </c>
    </row>
    <row r="100">
      <c r="A100" s="2" t="inlineStr">
        <is>
          <t>Dan Romer</t>
        </is>
      </c>
      <c r="B100" s="2" t="inlineStr">
        <is>
          <t>Dan Romer</t>
        </is>
      </c>
      <c r="C100" s="2" t="inlineStr">
        <is>
          <t>kept</t>
        </is>
      </c>
      <c r="D100" s="2" t="n">
        <v>1</v>
      </c>
    </row>
    <row r="101">
      <c r="A101" s="2" t="inlineStr">
        <is>
          <t>Dang Tung Long</t>
        </is>
      </c>
      <c r="B101" s="2" t="inlineStr">
        <is>
          <t>Dang Tung Long</t>
        </is>
      </c>
      <c r="C101" s="2" t="inlineStr">
        <is>
          <t>kept</t>
        </is>
      </c>
      <c r="D101" s="2" t="n">
        <v>1</v>
      </c>
    </row>
    <row r="102">
      <c r="A102" s="2" t="inlineStr">
        <is>
          <t>Daniel Gottlob Türk</t>
        </is>
      </c>
      <c r="B102" s="2" t="inlineStr">
        <is>
          <t>Daniel Gottlob Türk</t>
        </is>
      </c>
      <c r="C102" s="2" t="inlineStr">
        <is>
          <t>kept</t>
        </is>
      </c>
      <c r="D102" s="2" t="n">
        <v>1</v>
      </c>
    </row>
    <row r="103">
      <c r="A103" s="2" t="inlineStr">
        <is>
          <t>Daniel Szelogowski</t>
        </is>
      </c>
      <c r="B103" s="2" t="inlineStr">
        <is>
          <t>Daniel Szelogowski</t>
        </is>
      </c>
      <c r="C103" s="2" t="inlineStr">
        <is>
          <t>kept</t>
        </is>
      </c>
      <c r="D103" s="2" t="n">
        <v>1</v>
      </c>
    </row>
    <row r="104">
      <c r="A104" s="2" t="inlineStr">
        <is>
          <t>Danny Daglas</t>
        </is>
      </c>
      <c r="B104" s="2" t="inlineStr">
        <is>
          <t>Danny Daglas</t>
        </is>
      </c>
      <c r="C104" s="2" t="inlineStr">
        <is>
          <t>kept</t>
        </is>
      </c>
      <c r="D104" s="2" t="n">
        <v>1</v>
      </c>
    </row>
    <row r="105">
      <c r="A105" s="2" t="inlineStr">
        <is>
          <t>David Arnold</t>
        </is>
      </c>
      <c r="B105" s="2" t="inlineStr">
        <is>
          <t>David Arnold</t>
        </is>
      </c>
      <c r="C105" s="2" t="inlineStr">
        <is>
          <t>kept</t>
        </is>
      </c>
      <c r="D105" s="2" t="n">
        <v>1</v>
      </c>
    </row>
    <row r="106">
      <c r="A106" s="2" t="inlineStr">
        <is>
          <t>David Caetano, 11/2019</t>
        </is>
      </c>
      <c r="B106" s="2" t="inlineStr">
        <is>
          <t>David Caetano</t>
        </is>
      </c>
      <c r="C106" s="2" t="inlineStr">
        <is>
          <t>normalized</t>
        </is>
      </c>
      <c r="D106" s="2" t="n">
        <v>1</v>
      </c>
    </row>
    <row r="107">
      <c r="A107" s="2" t="inlineStr">
        <is>
          <t>David Charlier</t>
        </is>
      </c>
      <c r="B107" s="2" t="inlineStr">
        <is>
          <t>David Charlier</t>
        </is>
      </c>
      <c r="C107" s="2" t="inlineStr">
        <is>
          <t>kept</t>
        </is>
      </c>
      <c r="D107" s="2" t="n">
        <v>1</v>
      </c>
    </row>
    <row r="108">
      <c r="A108" s="2" t="inlineStr">
        <is>
          <t>Trans. Isaiah Honor</t>
        </is>
      </c>
      <c r="B108" s="2" t="inlineStr">
        <is>
          <t>David Fenn</t>
        </is>
      </c>
      <c r="C108" s="2" t="inlineStr">
        <is>
          <t>composer from score credits</t>
        </is>
      </c>
      <c r="D108" s="2" t="n">
        <v>1</v>
      </c>
    </row>
    <row r="109">
      <c r="A109" s="2" t="inlineStr">
        <is>
          <t>David Lanz</t>
        </is>
      </c>
      <c r="B109" s="2" t="inlineStr">
        <is>
          <t>David Lanz</t>
        </is>
      </c>
      <c r="C109" s="2" t="inlineStr">
        <is>
          <t>kept</t>
        </is>
      </c>
      <c r="D109" s="2" t="n">
        <v>1</v>
      </c>
    </row>
    <row r="110">
      <c r="A110" s="2" t="inlineStr">
        <is>
          <t>David Taylor Gomes</t>
        </is>
      </c>
      <c r="B110" s="2" t="inlineStr">
        <is>
          <t>David Taylor Gomes</t>
        </is>
      </c>
      <c r="C110" s="2" t="inlineStr">
        <is>
          <t>kept</t>
        </is>
      </c>
      <c r="D110" s="2" t="n">
        <v>1</v>
      </c>
    </row>
    <row r="111">
      <c r="A111" s="2" t="inlineStr">
        <is>
          <t>David W. Guion</t>
        </is>
      </c>
      <c r="B111" s="2" t="inlineStr">
        <is>
          <t>David W. Guion</t>
        </is>
      </c>
      <c r="C111" s="2" t="inlineStr">
        <is>
          <t>kept</t>
        </is>
      </c>
      <c r="D111" s="2" t="n">
        <v>1</v>
      </c>
    </row>
    <row r="112">
      <c r="A112" s="2" t="inlineStr">
        <is>
          <t>Dazzyls</t>
        </is>
      </c>
      <c r="B112" s="2" t="inlineStr">
        <is>
          <t>Dazzyls</t>
        </is>
      </c>
      <c r="C112" s="2" t="inlineStr">
        <is>
          <t>kept</t>
        </is>
      </c>
      <c r="D112" s="2" t="n">
        <v>1</v>
      </c>
    </row>
    <row r="113">
      <c r="A113" s="2" t="inlineStr">
        <is>
          <t>DeDuck</t>
        </is>
      </c>
      <c r="B113" s="2" t="inlineStr">
        <is>
          <t>DeDuck</t>
        </is>
      </c>
      <c r="C113" s="2" t="inlineStr">
        <is>
          <t>kept</t>
        </is>
      </c>
      <c r="D113" s="2" t="n">
        <v>1</v>
      </c>
    </row>
    <row r="114">
      <c r="A114" s="2" t="inlineStr">
        <is>
          <t>Dianna Smith</t>
        </is>
      </c>
      <c r="B114" s="2" t="inlineStr">
        <is>
          <t>Dianna Smith</t>
        </is>
      </c>
      <c r="C114" s="2" t="inlineStr">
        <is>
          <t>kept</t>
        </is>
      </c>
      <c r="D114" s="2" t="n">
        <v>1</v>
      </c>
    </row>
    <row r="115">
      <c r="A115" s="2" t="inlineStr">
        <is>
          <t>Dizzy Gillespie</t>
        </is>
      </c>
      <c r="B115" s="2" t="inlineStr">
        <is>
          <t>Dizzy Gillespie</t>
        </is>
      </c>
      <c r="C115" s="2" t="inlineStr">
        <is>
          <t>kept</t>
        </is>
      </c>
      <c r="D115" s="2" t="n">
        <v>1</v>
      </c>
    </row>
    <row r="116">
      <c r="A116" s="2" t="inlineStr">
        <is>
          <t>Original by: DJ Totto</t>
        </is>
      </c>
      <c r="B116" s="2" t="inlineStr">
        <is>
          <t>DJ Totto</t>
        </is>
      </c>
      <c r="C116" s="2" t="inlineStr">
        <is>
          <t>normalized</t>
        </is>
      </c>
      <c r="D116" s="2" t="n">
        <v>1</v>
      </c>
    </row>
    <row r="117">
      <c r="A117" s="2" t="inlineStr">
        <is>
          <t>Dmitri Shostakovich</t>
        </is>
      </c>
      <c r="B117" s="2" t="inlineStr">
        <is>
          <t>Dmitri Shostakovich</t>
        </is>
      </c>
      <c r="C117" s="2" t="inlineStr">
        <is>
          <t>kept</t>
        </is>
      </c>
      <c r="D117" s="2" t="n">
        <v>2</v>
      </c>
    </row>
    <row r="118">
      <c r="A118" s="2" t="inlineStr">
        <is>
          <t>Dominic Schmid</t>
        </is>
      </c>
      <c r="B118" s="2" t="inlineStr">
        <is>
          <t>Dominic Schmid</t>
        </is>
      </c>
      <c r="C118" s="2" t="inlineStr">
        <is>
          <t>kept</t>
        </is>
      </c>
      <c r="D118" s="2" t="n">
        <v>1</v>
      </c>
    </row>
    <row r="119">
      <c r="A119" s="2" t="inlineStr">
        <is>
          <t>Dustin O'Halloran</t>
        </is>
      </c>
      <c r="B119" s="2" t="inlineStr">
        <is>
          <t>Dustin O'Halloran</t>
        </is>
      </c>
      <c r="C119" s="2" t="inlineStr">
        <is>
          <t>kept</t>
        </is>
      </c>
      <c r="D119" s="2" t="n">
        <v>2</v>
      </c>
    </row>
    <row r="120">
      <c r="A120" s="2" t="inlineStr">
        <is>
          <t>Dylan Simons</t>
        </is>
      </c>
      <c r="B120" s="2" t="inlineStr">
        <is>
          <t>Dylan Simons</t>
        </is>
      </c>
      <c r="C120" s="2" t="inlineStr">
        <is>
          <t>kept</t>
        </is>
      </c>
      <c r="D120" s="2" t="n">
        <v>1</v>
      </c>
    </row>
    <row r="121">
      <c r="A121" s="2" t="inlineStr">
        <is>
          <t>E. T. Paull</t>
        </is>
      </c>
      <c r="B121" s="2" t="inlineStr">
        <is>
          <t>E. T. Paull</t>
        </is>
      </c>
      <c r="C121" s="2" t="inlineStr">
        <is>
          <t>kept</t>
        </is>
      </c>
      <c r="D121" s="2" t="n">
        <v>2</v>
      </c>
    </row>
    <row r="122">
      <c r="A122" s="2" t="inlineStr">
        <is>
          <t>E.T Paull</t>
        </is>
      </c>
      <c r="B122" s="2" t="inlineStr">
        <is>
          <t>E. T. Paull</t>
        </is>
      </c>
      <c r="C122" s="2" t="inlineStr">
        <is>
          <t>normalized</t>
        </is>
      </c>
      <c r="D122" s="2" t="n">
        <v>1</v>
      </c>
    </row>
    <row r="123">
      <c r="A123" s="2" t="inlineStr">
        <is>
          <t>E.T. Paull</t>
        </is>
      </c>
      <c r="B123" s="2" t="inlineStr">
        <is>
          <t>E. T. Paull</t>
        </is>
      </c>
      <c r="C123" s="2" t="inlineStr">
        <is>
          <t>normalized</t>
        </is>
      </c>
      <c r="D123" s="2" t="n">
        <v>1</v>
      </c>
    </row>
    <row r="124">
      <c r="A124" s="2" t="inlineStr">
        <is>
          <t>Ed Sheeran</t>
        </is>
      </c>
      <c r="B124" s="2" t="inlineStr">
        <is>
          <t>Ed Sheeran</t>
        </is>
      </c>
      <c r="C124" s="2" t="inlineStr">
        <is>
          <t>kept</t>
        </is>
      </c>
      <c r="D124" s="2" t="n">
        <v>1</v>
      </c>
    </row>
    <row r="125">
      <c r="A125" s="2" t="inlineStr">
        <is>
          <t>Ed. Dangel</t>
        </is>
      </c>
      <c r="B125" s="2" t="inlineStr">
        <is>
          <t>Ed. Dangel</t>
        </is>
      </c>
      <c r="C125" s="2" t="inlineStr">
        <is>
          <t>kept</t>
        </is>
      </c>
      <c r="D125" s="2" t="n">
        <v>1</v>
      </c>
    </row>
    <row r="126">
      <c r="A126" s="2" t="inlineStr">
        <is>
          <t>Edith Althoff</t>
        </is>
      </c>
      <c r="B126" s="2" t="inlineStr">
        <is>
          <t>Edith Althoff</t>
        </is>
      </c>
      <c r="C126" s="2" t="inlineStr">
        <is>
          <t>kept</t>
        </is>
      </c>
      <c r="D126" s="2" t="n">
        <v>1</v>
      </c>
    </row>
    <row r="127">
      <c r="A127" s="2" t="inlineStr">
        <is>
          <t>Edmund Braham</t>
        </is>
      </c>
      <c r="B127" s="2" t="inlineStr">
        <is>
          <t>Edmund Braham</t>
        </is>
      </c>
      <c r="C127" s="2" t="inlineStr">
        <is>
          <t>kept</t>
        </is>
      </c>
      <c r="D127" s="2" t="n">
        <v>3</v>
      </c>
    </row>
    <row r="128">
      <c r="A128" s="2" t="inlineStr">
        <is>
          <t>EDMUND BRAHAM, Op.386</t>
        </is>
      </c>
      <c r="B128" s="2" t="inlineStr">
        <is>
          <t>Edmund Braham</t>
        </is>
      </c>
      <c r="C128" s="2" t="inlineStr">
        <is>
          <t>normalized</t>
        </is>
      </c>
      <c r="D128" s="2" t="n">
        <v>1</v>
      </c>
    </row>
    <row r="129">
      <c r="A129" s="2" t="inlineStr">
        <is>
          <t>Ed. B. Claypoole</t>
        </is>
      </c>
      <c r="B129" s="2" t="inlineStr">
        <is>
          <t>Edward B. Claypoole</t>
        </is>
      </c>
      <c r="C129" s="2" t="inlineStr">
        <is>
          <t>normalized</t>
        </is>
      </c>
      <c r="D129" s="2" t="n">
        <v>1</v>
      </c>
    </row>
    <row r="130">
      <c r="A130" s="2" t="inlineStr">
        <is>
          <t>Edw. B. Claypoole</t>
        </is>
      </c>
      <c r="B130" s="2" t="inlineStr">
        <is>
          <t>Edward B. Claypoole</t>
        </is>
      </c>
      <c r="C130" s="2" t="inlineStr">
        <is>
          <t>normalized</t>
        </is>
      </c>
      <c r="D130" s="2" t="n">
        <v>1</v>
      </c>
    </row>
    <row r="131">
      <c r="A131" s="2" t="inlineStr">
        <is>
          <t>Edward Bunting</t>
        </is>
      </c>
      <c r="B131" s="2" t="inlineStr">
        <is>
          <t>Edward Bunting</t>
        </is>
      </c>
      <c r="C131" s="2" t="inlineStr">
        <is>
          <t>kept</t>
        </is>
      </c>
      <c r="D131" s="2" t="n">
        <v>1</v>
      </c>
    </row>
    <row r="132">
      <c r="A132" s="2" t="inlineStr">
        <is>
          <t>Edward Hudson</t>
        </is>
      </c>
      <c r="B132" s="2" t="inlineStr">
        <is>
          <t>Edward Hudson</t>
        </is>
      </c>
      <c r="C132" s="2" t="inlineStr">
        <is>
          <t>kept</t>
        </is>
      </c>
      <c r="D132" s="2" t="n">
        <v>1</v>
      </c>
    </row>
    <row r="133">
      <c r="A133" s="2" t="inlineStr">
        <is>
          <t>Edwin F. Kendall</t>
        </is>
      </c>
      <c r="B133" s="2" t="inlineStr">
        <is>
          <t>Edwin F. Kendall</t>
        </is>
      </c>
      <c r="C133" s="2" t="inlineStr">
        <is>
          <t>kept</t>
        </is>
      </c>
      <c r="D133" s="2" t="n">
        <v>1</v>
      </c>
    </row>
    <row r="134">
      <c r="A134" s="2" t="inlineStr">
        <is>
          <t>Effie F. Kamman</t>
        </is>
      </c>
      <c r="B134" s="2" t="inlineStr">
        <is>
          <t>Effie F. Kamman</t>
        </is>
      </c>
      <c r="C134" s="2" t="inlineStr">
        <is>
          <t>kept</t>
        </is>
      </c>
      <c r="D134" s="2" t="n">
        <v>1</v>
      </c>
    </row>
    <row r="135">
      <c r="A135" s="2" t="inlineStr">
        <is>
          <t>Elizabeth Kyriakides</t>
        </is>
      </c>
      <c r="B135" s="2" t="inlineStr">
        <is>
          <t>Elizabeth Kyriakides</t>
        </is>
      </c>
      <c r="C135" s="2" t="inlineStr">
        <is>
          <t>kept</t>
        </is>
      </c>
      <c r="D135" s="2" t="n">
        <v>1</v>
      </c>
    </row>
    <row r="136">
      <c r="A136" s="2" t="inlineStr">
        <is>
          <t>Elliot Wells</t>
        </is>
      </c>
      <c r="B136" s="2" t="inlineStr">
        <is>
          <t>Elliot Wells</t>
        </is>
      </c>
      <c r="C136" s="2" t="inlineStr">
        <is>
          <t>kept</t>
        </is>
      </c>
      <c r="D136" s="2" t="n">
        <v>1</v>
      </c>
    </row>
    <row r="137">
      <c r="A137" s="2" t="inlineStr">
        <is>
          <t>Elmer H. Smith</t>
        </is>
      </c>
      <c r="B137" s="2" t="inlineStr">
        <is>
          <t>Elmer H. Smith</t>
        </is>
      </c>
      <c r="C137" s="2" t="inlineStr">
        <is>
          <t>kept</t>
        </is>
      </c>
      <c r="D137" s="2" t="n">
        <v>1</v>
      </c>
    </row>
    <row r="138">
      <c r="A138" s="2" t="inlineStr">
        <is>
          <t>Elmer Olson</t>
        </is>
      </c>
      <c r="B138" s="2" t="inlineStr">
        <is>
          <t>Elmer Olson</t>
        </is>
      </c>
      <c r="C138" s="2" t="inlineStr">
        <is>
          <t>kept</t>
        </is>
      </c>
      <c r="D138" s="2" t="n">
        <v>3</v>
      </c>
    </row>
    <row r="139">
      <c r="A139" s="2" t="inlineStr">
        <is>
          <t>Emilee Hanson</t>
        </is>
      </c>
      <c r="B139" s="2" t="inlineStr">
        <is>
          <t>Emilee Hanson</t>
        </is>
      </c>
      <c r="C139" s="2" t="inlineStr">
        <is>
          <t>kept</t>
        </is>
      </c>
      <c r="D139" s="2" t="n">
        <v>1</v>
      </c>
    </row>
    <row r="140">
      <c r="A140" s="2" t="inlineStr">
        <is>
          <t>Eric Lee Piano</t>
        </is>
      </c>
      <c r="B140" s="2" t="inlineStr">
        <is>
          <t>Eric Lee</t>
        </is>
      </c>
      <c r="C140" s="2" t="inlineStr">
        <is>
          <t>normalized</t>
        </is>
      </c>
      <c r="D140" s="2" t="n">
        <v>1</v>
      </c>
    </row>
    <row r="141">
      <c r="A141" s="2" t="inlineStr">
        <is>
          <t>Eric Szanto</t>
        </is>
      </c>
      <c r="B141" s="2" t="inlineStr">
        <is>
          <t>Eric Szanto</t>
        </is>
      </c>
      <c r="C141" s="2" t="inlineStr">
        <is>
          <t>kept</t>
        </is>
      </c>
      <c r="D141" s="2" t="n">
        <v>1</v>
      </c>
    </row>
    <row r="142">
      <c r="A142" s="2" t="inlineStr">
        <is>
          <t>Eubie Blake</t>
        </is>
      </c>
      <c r="B142" s="2" t="inlineStr">
        <is>
          <t>Eubie Blake</t>
        </is>
      </c>
      <c r="C142" s="2" t="inlineStr">
        <is>
          <t>kept</t>
        </is>
      </c>
      <c r="D142" s="2" t="n">
        <v>2</v>
      </c>
    </row>
    <row r="143">
      <c r="A143" s="2" t="inlineStr">
        <is>
          <t>Eugene Mack</t>
        </is>
      </c>
      <c r="B143" s="2" t="inlineStr">
        <is>
          <t>Eugene Mack</t>
        </is>
      </c>
      <c r="C143" s="2" t="inlineStr">
        <is>
          <t>kept</t>
        </is>
      </c>
      <c r="D143" s="2" t="n">
        <v>1</v>
      </c>
    </row>
    <row r="144">
      <c r="A144" s="2" t="inlineStr">
        <is>
          <t>Eugene Platzmann</t>
        </is>
      </c>
      <c r="B144" s="2" t="inlineStr">
        <is>
          <t>Eugene Platzmann</t>
        </is>
      </c>
      <c r="C144" s="2" t="inlineStr">
        <is>
          <t>kept</t>
        </is>
      </c>
      <c r="D144" s="2" t="n">
        <v>1</v>
      </c>
    </row>
    <row r="145">
      <c r="A145" s="2" t="inlineStr">
        <is>
          <t>F-777</t>
        </is>
      </c>
      <c r="B145" s="2" t="inlineStr">
        <is>
          <t>F-777</t>
        </is>
      </c>
      <c r="C145" s="2" t="inlineStr">
        <is>
          <t>kept</t>
        </is>
      </c>
      <c r="D145" s="2" t="n">
        <v>1</v>
      </c>
    </row>
    <row r="146">
      <c r="A146" s="2" t="inlineStr">
        <is>
          <t>F. M. Wood</t>
        </is>
      </c>
      <c r="B146" s="2" t="inlineStr">
        <is>
          <t>F. M. Wood</t>
        </is>
      </c>
      <c r="C146" s="2" t="inlineStr">
        <is>
          <t>kept</t>
        </is>
      </c>
      <c r="D146" s="2" t="n">
        <v>1</v>
      </c>
    </row>
    <row r="147">
      <c r="A147" s="2" t="inlineStr">
        <is>
          <t>Fabian Reiß</t>
        </is>
      </c>
      <c r="B147" s="2" t="inlineStr">
        <is>
          <t>Fabian Reiß</t>
        </is>
      </c>
      <c r="C147" s="2" t="inlineStr">
        <is>
          <t>kept</t>
        </is>
      </c>
      <c r="D147" s="2" t="n">
        <v>3</v>
      </c>
    </row>
    <row r="148">
      <c r="A148" s="2" t="inlineStr">
        <is>
          <t>Fanny Hensel</t>
        </is>
      </c>
      <c r="B148" s="2" t="inlineStr">
        <is>
          <t>Fanny Hensel</t>
        </is>
      </c>
      <c r="C148" s="2" t="inlineStr">
        <is>
          <t>kept</t>
        </is>
      </c>
      <c r="D148" s="2" t="n">
        <v>1</v>
      </c>
    </row>
    <row r="149">
      <c r="A149" s="2" t="inlineStr">
        <is>
          <t>Thomas Waller</t>
        </is>
      </c>
      <c r="B149" s="2" t="inlineStr">
        <is>
          <t>Fats Waller</t>
        </is>
      </c>
      <c r="C149" s="2" t="inlineStr">
        <is>
          <t>normalized</t>
        </is>
      </c>
      <c r="D149" s="2" t="n">
        <v>1</v>
      </c>
    </row>
    <row r="150">
      <c r="A150" s="2" t="inlineStr">
        <is>
          <t>“Fats” Waller</t>
        </is>
      </c>
      <c r="B150" s="2" t="inlineStr">
        <is>
          <t>Fats Waller</t>
        </is>
      </c>
      <c r="C150" s="2" t="inlineStr">
        <is>
          <t>normalized</t>
        </is>
      </c>
      <c r="D150" s="2" t="n">
        <v>1</v>
      </c>
    </row>
    <row r="151">
      <c r="A151" s="2" t="inlineStr">
        <is>
          <t>Felix Arndt</t>
        </is>
      </c>
      <c r="B151" s="2" t="inlineStr">
        <is>
          <t>Felix Arndt</t>
        </is>
      </c>
      <c r="C151" s="2" t="inlineStr">
        <is>
          <t>kept</t>
        </is>
      </c>
      <c r="D151" s="2" t="n">
        <v>1</v>
      </c>
    </row>
    <row r="152">
      <c r="A152" s="2" t="inlineStr">
        <is>
          <t>Felix Petyrek</t>
        </is>
      </c>
      <c r="B152" s="2" t="inlineStr">
        <is>
          <t>Felix Petyrek</t>
        </is>
      </c>
      <c r="C152" s="2" t="inlineStr">
        <is>
          <t>kept</t>
        </is>
      </c>
      <c r="D152" s="2" t="n">
        <v>1</v>
      </c>
    </row>
    <row r="153">
      <c r="A153" s="2" t="inlineStr">
        <is>
          <t>Fernando Cobeño Heredia</t>
        </is>
      </c>
      <c r="B153" s="2" t="inlineStr">
        <is>
          <t>Fernando Cobeño Heredia</t>
        </is>
      </c>
      <c r="C153" s="2" t="inlineStr">
        <is>
          <t>kept</t>
        </is>
      </c>
      <c r="D153" s="2" t="n">
        <v>1</v>
      </c>
    </row>
    <row r="154">
      <c r="A154" s="2" t="inlineStr">
        <is>
          <t>Filipus Kevin Hendar S.</t>
        </is>
      </c>
      <c r="B154" s="2" t="inlineStr">
        <is>
          <t>Filipus Kevin Hendar S.</t>
        </is>
      </c>
      <c r="C154" s="2" t="inlineStr">
        <is>
          <t>kept</t>
        </is>
      </c>
      <c r="D154" s="2" t="n">
        <v>1</v>
      </c>
    </row>
    <row r="155">
      <c r="A155" s="2" t="inlineStr">
        <is>
          <t>Finn Bernaerdt</t>
        </is>
      </c>
      <c r="B155" s="2" t="inlineStr">
        <is>
          <t>Finn Bernaerdt</t>
        </is>
      </c>
      <c r="C155" s="2" t="inlineStr">
        <is>
          <t>kept</t>
        </is>
      </c>
      <c r="D155" s="2" t="n">
        <v>1</v>
      </c>
    </row>
    <row r="156">
      <c r="A156" s="2" t="inlineStr">
        <is>
          <t>Finneas O'Connell</t>
        </is>
      </c>
      <c r="B156" s="2" t="inlineStr">
        <is>
          <t>Finneas O'Connell</t>
        </is>
      </c>
      <c r="C156" s="2" t="inlineStr">
        <is>
          <t>kept</t>
        </is>
      </c>
      <c r="D156" s="2" t="n">
        <v>1</v>
      </c>
    </row>
    <row r="157">
      <c r="A157" s="2" t="inlineStr">
        <is>
          <t>Floyd Willis</t>
        </is>
      </c>
      <c r="B157" s="2" t="inlineStr">
        <is>
          <t>Floyd Willis</t>
        </is>
      </c>
      <c r="C157" s="2" t="inlineStr">
        <is>
          <t>kept</t>
        </is>
      </c>
      <c r="D157" s="2" t="n">
        <v>1</v>
      </c>
    </row>
    <row r="158">
      <c r="A158" s="2" t="inlineStr">
        <is>
          <t>Fonzi M</t>
        </is>
      </c>
      <c r="B158" s="2" t="inlineStr">
        <is>
          <t>Fonzi M</t>
        </is>
      </c>
      <c r="C158" s="2" t="inlineStr">
        <is>
          <t>kept</t>
        </is>
      </c>
      <c r="D158" s="2" t="n">
        <v>1</v>
      </c>
    </row>
    <row r="159">
      <c r="A159" s="2" t="inlineStr">
        <is>
          <t>Francesco Mussin</t>
        </is>
      </c>
      <c r="B159" s="2" t="inlineStr">
        <is>
          <t>Francesco Mussin</t>
        </is>
      </c>
      <c r="C159" s="2" t="inlineStr">
        <is>
          <t>kept</t>
        </is>
      </c>
      <c r="D159" s="2" t="n">
        <v>1</v>
      </c>
    </row>
    <row r="160">
      <c r="A160" s="2" t="inlineStr">
        <is>
          <t>Francisco Conejo-García</t>
        </is>
      </c>
      <c r="B160" s="2" t="inlineStr">
        <is>
          <t>Francisco Conejo-García</t>
        </is>
      </c>
      <c r="C160" s="2" t="inlineStr">
        <is>
          <t>kept</t>
        </is>
      </c>
      <c r="D160" s="2" t="n">
        <v>1</v>
      </c>
    </row>
    <row r="161">
      <c r="A161" s="2" t="inlineStr">
        <is>
          <t>Frank Banta</t>
        </is>
      </c>
      <c r="B161" s="2" t="inlineStr">
        <is>
          <t>Frank Banta</t>
        </is>
      </c>
      <c r="C161" s="2" t="inlineStr">
        <is>
          <t>kept</t>
        </is>
      </c>
      <c r="D161" s="2" t="n">
        <v>1</v>
      </c>
    </row>
    <row r="162">
      <c r="A162" s="2" t="inlineStr">
        <is>
          <t>Frank Pallma</t>
        </is>
      </c>
      <c r="B162" s="2" t="inlineStr">
        <is>
          <t>Frank Pallma</t>
        </is>
      </c>
      <c r="C162" s="2" t="inlineStr">
        <is>
          <t>kept</t>
        </is>
      </c>
      <c r="D162" s="2" t="n">
        <v>1</v>
      </c>
    </row>
    <row r="163">
      <c r="A163" s="2" t="inlineStr">
        <is>
          <t>Frank Signorelli</t>
        </is>
      </c>
      <c r="B163" s="2" t="inlineStr">
        <is>
          <t>Frank Signorelli</t>
        </is>
      </c>
      <c r="C163" s="2" t="inlineStr">
        <is>
          <t>kept</t>
        </is>
      </c>
      <c r="D163" s="2" t="n">
        <v>1</v>
      </c>
    </row>
    <row r="164">
      <c r="A164" s="2" t="inlineStr">
        <is>
          <t>Frank Stori</t>
        </is>
      </c>
      <c r="B164" s="2" t="inlineStr">
        <is>
          <t>Frank Stori</t>
        </is>
      </c>
      <c r="C164" s="2" t="inlineStr">
        <is>
          <t>kept</t>
        </is>
      </c>
      <c r="D164" s="2" t="n">
        <v>1</v>
      </c>
    </row>
    <row r="165">
      <c r="A165" s="2" t="inlineStr">
        <is>
          <t>Frank Wooster and Ethel B. Smith</t>
        </is>
      </c>
      <c r="B165" s="2" t="inlineStr">
        <is>
          <t>Frank Wooster &amp; Ethel B. Smith</t>
        </is>
      </c>
      <c r="C165" s="2" t="inlineStr">
        <is>
          <t>normalized</t>
        </is>
      </c>
      <c r="D165" s="2" t="n">
        <v>1</v>
      </c>
    </row>
    <row r="166">
      <c r="A166" s="2" t="inlineStr">
        <is>
          <t>(empty)</t>
        </is>
      </c>
      <c r="B166" s="2" t="inlineStr">
        <is>
          <t>Franz Liszt</t>
        </is>
      </c>
      <c r="C166" s="2" t="inlineStr">
        <is>
          <t>filled (musicxml credits / score title)</t>
        </is>
      </c>
      <c r="D166" s="2" t="n">
        <v>13</v>
      </c>
    </row>
    <row r="167">
      <c r="A167" s="2" t="inlineStr">
        <is>
          <t>Franz Xaver Gruber</t>
        </is>
      </c>
      <c r="B167" s="2" t="inlineStr">
        <is>
          <t>Franz Xaver Gruber</t>
        </is>
      </c>
      <c r="C167" s="2" t="inlineStr">
        <is>
          <t>kept</t>
        </is>
      </c>
      <c r="D167" s="2" t="n">
        <v>1</v>
      </c>
    </row>
    <row r="168">
      <c r="A168" s="2" t="inlineStr">
        <is>
          <t>François Couperin</t>
        </is>
      </c>
      <c r="B168" s="2" t="inlineStr">
        <is>
          <t>François Couperin</t>
        </is>
      </c>
      <c r="C168" s="2" t="inlineStr">
        <is>
          <t>kept</t>
        </is>
      </c>
      <c r="D168" s="2" t="n">
        <v>1</v>
      </c>
    </row>
    <row r="169">
      <c r="A169" s="2" t="inlineStr">
        <is>
          <t>François Joseph Gossec</t>
        </is>
      </c>
      <c r="B169" s="2" t="inlineStr">
        <is>
          <t>François Joseph Gossec</t>
        </is>
      </c>
      <c r="C169" s="2" t="inlineStr">
        <is>
          <t>kept</t>
        </is>
      </c>
      <c r="D169" s="2" t="n">
        <v>1</v>
      </c>
    </row>
    <row r="170">
      <c r="A170" s="2" t="inlineStr">
        <is>
          <t>Fred Hager</t>
        </is>
      </c>
      <c r="B170" s="2" t="inlineStr">
        <is>
          <t>Fred Hager</t>
        </is>
      </c>
      <c r="C170" s="2" t="inlineStr">
        <is>
          <t>kept</t>
        </is>
      </c>
      <c r="D170" s="2" t="n">
        <v>1</v>
      </c>
    </row>
    <row r="171">
      <c r="A171" s="2" t="inlineStr">
        <is>
          <t>Friedrich Burgmüller</t>
        </is>
      </c>
      <c r="B171" s="2" t="inlineStr">
        <is>
          <t>Friedrich Burgmüller</t>
        </is>
      </c>
      <c r="C171" s="2" t="inlineStr">
        <is>
          <t>kept</t>
        </is>
      </c>
      <c r="D171" s="2" t="n">
        <v>3</v>
      </c>
    </row>
    <row r="172">
      <c r="A172" s="2" t="inlineStr">
        <is>
          <t>Johann Friedrich Franz Burgmüller</t>
        </is>
      </c>
      <c r="B172" s="2" t="inlineStr">
        <is>
          <t>Friedrich Burgmüller</t>
        </is>
      </c>
      <c r="C172" s="2" t="inlineStr">
        <is>
          <t>normalized</t>
        </is>
      </c>
      <c r="D172" s="2" t="n">
        <v>2</v>
      </c>
    </row>
    <row r="173">
      <c r="A173" s="2" t="inlineStr">
        <is>
          <t>Johann Friedrich Franz Burgmüller Opus 100</t>
        </is>
      </c>
      <c r="B173" s="2" t="inlineStr">
        <is>
          <t>Friedrich Burgmüller</t>
        </is>
      </c>
      <c r="C173" s="2" t="inlineStr">
        <is>
          <t>normalized</t>
        </is>
      </c>
      <c r="D173" s="2" t="n">
        <v>2</v>
      </c>
    </row>
    <row r="174">
      <c r="A174" s="2" t="inlineStr">
        <is>
          <t>Fritz Spindler</t>
        </is>
      </c>
      <c r="B174" s="2" t="inlineStr">
        <is>
          <t>Fritz Spindler</t>
        </is>
      </c>
      <c r="C174" s="2" t="inlineStr">
        <is>
          <t>kept</t>
        </is>
      </c>
      <c r="D174" s="2" t="n">
        <v>1</v>
      </c>
    </row>
    <row r="175">
      <c r="A175" s="2" t="inlineStr">
        <is>
          <t>Fuad İbrahimli</t>
        </is>
      </c>
      <c r="B175" s="2" t="inlineStr">
        <is>
          <t>Fuad İbrahimli</t>
        </is>
      </c>
      <c r="C175" s="2" t="inlineStr">
        <is>
          <t>kept</t>
        </is>
      </c>
      <c r="D175" s="2" t="n">
        <v>1</v>
      </c>
    </row>
    <row r="176">
      <c r="A176" s="2" t="inlineStr">
        <is>
          <t>G. Toselli</t>
        </is>
      </c>
      <c r="B176" s="2" t="inlineStr">
        <is>
          <t>G. Toselli</t>
        </is>
      </c>
      <c r="C176" s="2" t="inlineStr">
        <is>
          <t>kept</t>
        </is>
      </c>
      <c r="D176" s="2" t="n">
        <v>1</v>
      </c>
    </row>
    <row r="177">
      <c r="A177" s="2" t="inlineStr">
        <is>
          <t>Garett T. Beelow</t>
        </is>
      </c>
      <c r="B177" s="2" t="inlineStr">
        <is>
          <t>Garett T. Beelow</t>
        </is>
      </c>
      <c r="C177" s="2" t="inlineStr">
        <is>
          <t>kept</t>
        </is>
      </c>
      <c r="D177" s="2" t="n">
        <v>1</v>
      </c>
    </row>
    <row r="178">
      <c r="A178" s="2" t="inlineStr">
        <is>
          <t>Gary Schyman</t>
        </is>
      </c>
      <c r="B178" s="2" t="inlineStr">
        <is>
          <t>Gary Schyman</t>
        </is>
      </c>
      <c r="C178" s="2" t="inlineStr">
        <is>
          <t>kept</t>
        </is>
      </c>
      <c r="D178" s="2" t="n">
        <v>1</v>
      </c>
    </row>
    <row r="179">
      <c r="A179" s="2" t="inlineStr">
        <is>
          <t>George A. Minor</t>
        </is>
      </c>
      <c r="B179" s="2" t="inlineStr">
        <is>
          <t>George A. Minor</t>
        </is>
      </c>
      <c r="C179" s="2" t="inlineStr">
        <is>
          <t>kept</t>
        </is>
      </c>
      <c r="D179" s="2" t="n">
        <v>1</v>
      </c>
    </row>
    <row r="180">
      <c r="A180" s="2" t="inlineStr">
        <is>
          <t>George Adam Reeg</t>
        </is>
      </c>
      <c r="B180" s="2" t="inlineStr">
        <is>
          <t>George Adam Reeg</t>
        </is>
      </c>
      <c r="C180" s="2" t="inlineStr">
        <is>
          <t>kept</t>
        </is>
      </c>
      <c r="D180" s="2" t="n">
        <v>1</v>
      </c>
    </row>
    <row r="181">
      <c r="A181" s="2" t="inlineStr">
        <is>
          <t>George Fairman</t>
        </is>
      </c>
      <c r="B181" s="2" t="inlineStr">
        <is>
          <t>George Fairman</t>
        </is>
      </c>
      <c r="C181" s="2" t="inlineStr">
        <is>
          <t>kept</t>
        </is>
      </c>
      <c r="D181" s="2" t="n">
        <v>3</v>
      </c>
    </row>
    <row r="182">
      <c r="A182" s="2" t="inlineStr">
        <is>
          <t>George L. Cobb</t>
        </is>
      </c>
      <c r="B182" s="2" t="inlineStr">
        <is>
          <t>George L. Cobb</t>
        </is>
      </c>
      <c r="C182" s="2" t="inlineStr">
        <is>
          <t>kept</t>
        </is>
      </c>
      <c r="D182" s="2" t="n">
        <v>1</v>
      </c>
    </row>
    <row r="183">
      <c r="A183" s="2" t="inlineStr">
        <is>
          <t>George Rosey</t>
        </is>
      </c>
      <c r="B183" s="2" t="inlineStr">
        <is>
          <t>George Rosey</t>
        </is>
      </c>
      <c r="C183" s="2" t="inlineStr">
        <is>
          <t>kept</t>
        </is>
      </c>
      <c r="D183" s="2" t="n">
        <v>1</v>
      </c>
    </row>
    <row r="184">
      <c r="A184" s="2" t="inlineStr">
        <is>
          <t>George Thomas and Hersal Thomas</t>
        </is>
      </c>
      <c r="B184" s="2" t="inlineStr">
        <is>
          <t>George Thomas &amp; Hersal Thomas</t>
        </is>
      </c>
      <c r="C184" s="2" t="inlineStr">
        <is>
          <t>normalized</t>
        </is>
      </c>
      <c r="D184" s="2" t="n">
        <v>1</v>
      </c>
    </row>
    <row r="185">
      <c r="A185" s="2" t="inlineStr">
        <is>
          <t>Georges Bizet</t>
        </is>
      </c>
      <c r="B185" s="2" t="inlineStr">
        <is>
          <t>Georges Bizet</t>
        </is>
      </c>
      <c r="C185" s="2" t="inlineStr">
        <is>
          <t>kept</t>
        </is>
      </c>
      <c r="D185" s="2" t="n">
        <v>2</v>
      </c>
    </row>
    <row r="186">
      <c r="A186" s="2" t="inlineStr">
        <is>
          <t>G.H.Matos Rodríguez</t>
        </is>
      </c>
      <c r="B186" s="2" t="inlineStr">
        <is>
          <t>Gerardo Matos Rodríguez</t>
        </is>
      </c>
      <c r="C186" s="2" t="inlineStr">
        <is>
          <t>normalized</t>
        </is>
      </c>
      <c r="D186" s="2" t="n">
        <v>1</v>
      </c>
    </row>
    <row r="187">
      <c r="A187" s="2" t="inlineStr">
        <is>
          <t>Rossini</t>
        </is>
      </c>
      <c r="B187" s="2" t="inlineStr">
        <is>
          <t>Gioachino Rossini</t>
        </is>
      </c>
      <c r="C187" s="2" t="inlineStr">
        <is>
          <t>normalized</t>
        </is>
      </c>
      <c r="D187" s="2" t="n">
        <v>1</v>
      </c>
    </row>
    <row r="188">
      <c r="A188" s="2" t="inlineStr">
        <is>
          <t>Giuseppe Ottaviani</t>
        </is>
      </c>
      <c r="B188" s="2" t="inlineStr">
        <is>
          <t>Giuseppe Ottaviani</t>
        </is>
      </c>
      <c r="C188" s="2" t="inlineStr">
        <is>
          <t>kept</t>
        </is>
      </c>
      <c r="D188" s="2" t="n">
        <v>1</v>
      </c>
    </row>
    <row r="189">
      <c r="A189" s="2" t="inlineStr">
        <is>
          <t>Grace Burton</t>
        </is>
      </c>
      <c r="B189" s="2" t="inlineStr">
        <is>
          <t>Grace Burton</t>
        </is>
      </c>
      <c r="C189" s="2" t="inlineStr">
        <is>
          <t>kept</t>
        </is>
      </c>
      <c r="D189" s="2" t="n">
        <v>1</v>
      </c>
    </row>
    <row r="190">
      <c r="A190" s="2" t="inlineStr">
        <is>
          <t>Grace Walls Linn.</t>
        </is>
      </c>
      <c r="B190" s="2" t="inlineStr">
        <is>
          <t>Grace Walls Linn</t>
        </is>
      </c>
      <c r="C190" s="2" t="inlineStr">
        <is>
          <t>normalized</t>
        </is>
      </c>
      <c r="D190" s="2" t="n">
        <v>1</v>
      </c>
    </row>
    <row r="191">
      <c r="A191" s="2" t="inlineStr">
        <is>
          <t>Grayson Grundahl</t>
        </is>
      </c>
      <c r="B191" s="2" t="inlineStr">
        <is>
          <t>Grayson Grundahl</t>
        </is>
      </c>
      <c r="C191" s="2" t="inlineStr">
        <is>
          <t>kept</t>
        </is>
      </c>
      <c r="D191" s="2" t="n">
        <v>1</v>
      </c>
    </row>
    <row r="192">
      <c r="A192" s="2" t="inlineStr">
        <is>
          <t>Griffin McElroy</t>
        </is>
      </c>
      <c r="B192" s="2" t="inlineStr">
        <is>
          <t>Griffin McElroy</t>
        </is>
      </c>
      <c r="C192" s="2" t="inlineStr">
        <is>
          <t>kept</t>
        </is>
      </c>
      <c r="D192" s="2" t="n">
        <v>1</v>
      </c>
    </row>
    <row r="193">
      <c r="A193" s="2" t="inlineStr">
        <is>
          <t>Griffin Mcelroy</t>
        </is>
      </c>
      <c r="B193" s="2" t="inlineStr">
        <is>
          <t>Griffin McElroy</t>
        </is>
      </c>
      <c r="C193" s="2" t="inlineStr">
        <is>
          <t>normalized</t>
        </is>
      </c>
      <c r="D193" s="2" t="n">
        <v>1</v>
      </c>
    </row>
    <row r="194">
      <c r="A194" s="2" t="inlineStr">
        <is>
          <t>Gunna Young Thug</t>
        </is>
      </c>
      <c r="B194" s="2" t="inlineStr">
        <is>
          <t>Gunna &amp; Young Thug</t>
        </is>
      </c>
      <c r="C194" s="2" t="inlineStr">
        <is>
          <t>normalized</t>
        </is>
      </c>
      <c r="D194" s="2" t="n">
        <v>1</v>
      </c>
    </row>
    <row r="195">
      <c r="A195" s="2" t="inlineStr">
        <is>
          <t>From The Planets Gustav Holst</t>
        </is>
      </c>
      <c r="B195" s="2" t="inlineStr">
        <is>
          <t>Gustav Holst</t>
        </is>
      </c>
      <c r="C195" s="2" t="inlineStr">
        <is>
          <t>normalized</t>
        </is>
      </c>
      <c r="D195" s="2" t="n">
        <v>1</v>
      </c>
    </row>
    <row r="196">
      <c r="A196" s="2" t="inlineStr">
        <is>
          <t>Gwendolyn Stevenson</t>
        </is>
      </c>
      <c r="B196" s="2" t="inlineStr">
        <is>
          <t>Gwendolyn Stevenson</t>
        </is>
      </c>
      <c r="C196" s="2" t="inlineStr">
        <is>
          <t>kept</t>
        </is>
      </c>
      <c r="D196" s="2" t="n">
        <v>1</v>
      </c>
    </row>
    <row r="197">
      <c r="A197" s="2" t="inlineStr">
        <is>
          <t>H. Engelmann</t>
        </is>
      </c>
      <c r="B197" s="2" t="inlineStr">
        <is>
          <t>H. Engelmann</t>
        </is>
      </c>
      <c r="C197" s="2" t="inlineStr">
        <is>
          <t>kept</t>
        </is>
      </c>
      <c r="D197" s="2" t="n">
        <v>1</v>
      </c>
    </row>
    <row r="198">
      <c r="A198" s="2" t="inlineStr">
        <is>
          <t>H. Herrmann</t>
        </is>
      </c>
      <c r="B198" s="2" t="inlineStr">
        <is>
          <t>H. Herrmann</t>
        </is>
      </c>
      <c r="C198" s="2" t="inlineStr">
        <is>
          <t>kept</t>
        </is>
      </c>
      <c r="D198" s="2" t="n">
        <v>1</v>
      </c>
    </row>
    <row r="199">
      <c r="A199" s="2" t="inlineStr">
        <is>
          <t>H. T. Burleigh</t>
        </is>
      </c>
      <c r="B199" s="2" t="inlineStr">
        <is>
          <t>H. T. Burleigh</t>
        </is>
      </c>
      <c r="C199" s="2" t="inlineStr">
        <is>
          <t>kept</t>
        </is>
      </c>
      <c r="D199" s="2" t="n">
        <v>1</v>
      </c>
    </row>
    <row r="200">
      <c r="A200" s="2" t="inlineStr">
        <is>
          <t>Hamish MacCunn</t>
        </is>
      </c>
      <c r="B200" s="2" t="inlineStr">
        <is>
          <t>Hamish MacCunn</t>
        </is>
      </c>
      <c r="C200" s="2" t="inlineStr">
        <is>
          <t>kept</t>
        </is>
      </c>
      <c r="D200" s="2" t="n">
        <v>1</v>
      </c>
    </row>
    <row r="201">
      <c r="A201" s="2" t="inlineStr">
        <is>
          <t>Hans Zimmer</t>
        </is>
      </c>
      <c r="B201" s="2" t="inlineStr">
        <is>
          <t>Hans Zimmer</t>
        </is>
      </c>
      <c r="C201" s="2" t="inlineStr">
        <is>
          <t>kept</t>
        </is>
      </c>
      <c r="D201" s="2" t="n">
        <v>4</v>
      </c>
    </row>
    <row r="202">
      <c r="A202" s="2" t="inlineStr">
        <is>
          <t>Harold Potter</t>
        </is>
      </c>
      <c r="B202" s="2" t="inlineStr">
        <is>
          <t>Harold Potter</t>
        </is>
      </c>
      <c r="C202" s="2" t="inlineStr">
        <is>
          <t>kept</t>
        </is>
      </c>
      <c r="D202" s="2" t="n">
        <v>1</v>
      </c>
    </row>
    <row r="203">
      <c r="A203" s="2" t="inlineStr">
        <is>
          <t>Harry J. Lincoln</t>
        </is>
      </c>
      <c r="B203" s="2" t="inlineStr">
        <is>
          <t>Harry J. Lincoln</t>
        </is>
      </c>
      <c r="C203" s="2" t="inlineStr">
        <is>
          <t>kept</t>
        </is>
      </c>
      <c r="D203" s="2" t="n">
        <v>2</v>
      </c>
    </row>
    <row r="204">
      <c r="A204" s="2" t="inlineStr">
        <is>
          <t>Harry Jentes</t>
        </is>
      </c>
      <c r="B204" s="2" t="inlineStr">
        <is>
          <t>Harry Jentes</t>
        </is>
      </c>
      <c r="C204" s="2" t="inlineStr">
        <is>
          <t>kept</t>
        </is>
      </c>
      <c r="D204" s="2" t="n">
        <v>2</v>
      </c>
    </row>
    <row r="205">
      <c r="A205" s="2" t="inlineStr">
        <is>
          <t>Harry L. Cook</t>
        </is>
      </c>
      <c r="B205" s="2" t="inlineStr">
        <is>
          <t>Harry L. Cook</t>
        </is>
      </c>
      <c r="C205" s="2" t="inlineStr">
        <is>
          <t>kept</t>
        </is>
      </c>
      <c r="D205" s="2" t="n">
        <v>1</v>
      </c>
    </row>
    <row r="206">
      <c r="A206" s="2" t="inlineStr">
        <is>
          <t>Harry Styles and Thomas Hull</t>
        </is>
      </c>
      <c r="B206" s="2" t="inlineStr">
        <is>
          <t>Harry Styles &amp; Thomas Hull</t>
        </is>
      </c>
      <c r="C206" s="2" t="inlineStr">
        <is>
          <t>normalized</t>
        </is>
      </c>
      <c r="D206" s="2" t="n">
        <v>1</v>
      </c>
    </row>
    <row r="207">
      <c r="A207" s="2" t="inlineStr">
        <is>
          <t>Harumi Fujita &amp; Yoko Shimomura</t>
        </is>
      </c>
      <c r="B207" s="2" t="inlineStr">
        <is>
          <t>Harumi Fujita &amp; Yoko Shimomura</t>
        </is>
      </c>
      <c r="C207" s="2" t="inlineStr">
        <is>
          <t>kept</t>
        </is>
      </c>
      <c r="D207" s="2" t="n">
        <v>1</v>
      </c>
    </row>
    <row r="208">
      <c r="A208" s="2" t="inlineStr">
        <is>
          <t>Heath (The High-Lows) Arrangement: K.H.J/colorsofsound</t>
        </is>
      </c>
      <c r="B208" s="2" t="inlineStr">
        <is>
          <t>Heath</t>
        </is>
      </c>
      <c r="C208" s="2" t="inlineStr">
        <is>
          <t>normalized</t>
        </is>
      </c>
      <c r="D208" s="2" t="n">
        <v>1</v>
      </c>
    </row>
    <row r="209">
      <c r="A209" s="2" t="inlineStr">
        <is>
          <t>Hector Garcia</t>
        </is>
      </c>
      <c r="B209" s="2" t="inlineStr">
        <is>
          <t>Hector Garcia</t>
        </is>
      </c>
      <c r="C209" s="2" t="inlineStr">
        <is>
          <t>kept</t>
        </is>
      </c>
      <c r="D209" s="2" t="n">
        <v>1</v>
      </c>
    </row>
    <row r="210">
      <c r="A210" s="2" t="inlineStr">
        <is>
          <t>1871 HENRY EIKMEIER, Op. 43.</t>
        </is>
      </c>
      <c r="B210" s="2" t="inlineStr">
        <is>
          <t>Henry Eikmeier</t>
        </is>
      </c>
      <c r="C210" s="2" t="inlineStr">
        <is>
          <t>normalized</t>
        </is>
      </c>
      <c r="D210" s="2" t="n">
        <v>1</v>
      </c>
    </row>
    <row r="211">
      <c r="A211" s="2" t="inlineStr">
        <is>
          <t>Henry Frantzen.</t>
        </is>
      </c>
      <c r="B211" s="2" t="inlineStr">
        <is>
          <t>Henry Frantzen</t>
        </is>
      </c>
      <c r="C211" s="2" t="inlineStr">
        <is>
          <t>normalized</t>
        </is>
      </c>
      <c r="D211" s="2" t="n">
        <v>1</v>
      </c>
    </row>
    <row r="212">
      <c r="A212" s="2" t="inlineStr">
        <is>
          <t>Henry Lange</t>
        </is>
      </c>
      <c r="B212" s="2" t="inlineStr">
        <is>
          <t>Henry Lange</t>
        </is>
      </c>
      <c r="C212" s="2" t="inlineStr">
        <is>
          <t>kept</t>
        </is>
      </c>
      <c r="D212" s="2" t="n">
        <v>2</v>
      </c>
    </row>
    <row r="213">
      <c r="A213" s="2" t="inlineStr">
        <is>
          <t>Henry Lemoine</t>
        </is>
      </c>
      <c r="B213" s="2" t="inlineStr">
        <is>
          <t>Henry Lemoine</t>
        </is>
      </c>
      <c r="C213" s="2" t="inlineStr">
        <is>
          <t>kept</t>
        </is>
      </c>
      <c r="D213" s="2" t="n">
        <v>1</v>
      </c>
    </row>
    <row r="214">
      <c r="A214" s="2" t="inlineStr">
        <is>
          <t>Henry Lodge</t>
        </is>
      </c>
      <c r="B214" s="2" t="inlineStr">
        <is>
          <t>Henry Lodge</t>
        </is>
      </c>
      <c r="C214" s="2" t="inlineStr">
        <is>
          <t>kept</t>
        </is>
      </c>
      <c r="D214" s="2" t="n">
        <v>2</v>
      </c>
    </row>
    <row r="215">
      <c r="A215" s="2" t="inlineStr">
        <is>
          <t>Henry Purcell</t>
        </is>
      </c>
      <c r="B215" s="2" t="inlineStr">
        <is>
          <t>Henry Purcell</t>
        </is>
      </c>
      <c r="C215" s="2" t="inlineStr">
        <is>
          <t>kept</t>
        </is>
      </c>
      <c r="D215" s="2" t="n">
        <v>1</v>
      </c>
    </row>
    <row r="216">
      <c r="A216" s="2" t="inlineStr">
        <is>
          <t>Herbert Ingraham</t>
        </is>
      </c>
      <c r="B216" s="2" t="inlineStr">
        <is>
          <t>Herbert Ingraham</t>
        </is>
      </c>
      <c r="C216" s="2" t="inlineStr">
        <is>
          <t>kept</t>
        </is>
      </c>
      <c r="D216" s="2" t="n">
        <v>3</v>
      </c>
    </row>
    <row r="217">
      <c r="A217" s="2" t="inlineStr">
        <is>
          <t>Hertbert Spencer</t>
        </is>
      </c>
      <c r="B217" s="2" t="inlineStr">
        <is>
          <t>Herbert Spencer</t>
        </is>
      </c>
      <c r="C217" s="2" t="inlineStr">
        <is>
          <t>normalized</t>
        </is>
      </c>
      <c r="D217" s="2" t="n">
        <v>1</v>
      </c>
    </row>
    <row r="218">
      <c r="A218" s="2" t="inlineStr">
        <is>
          <t>Hirokazu Tanaka Arrangement by David Piper</t>
        </is>
      </c>
      <c r="B218" s="2" t="inlineStr">
        <is>
          <t>Hirokazu Tanaka</t>
        </is>
      </c>
      <c r="C218" s="2" t="inlineStr">
        <is>
          <t>normalized</t>
        </is>
      </c>
      <c r="D218" s="2" t="n">
        <v>1</v>
      </c>
    </row>
    <row r="219">
      <c r="A219" s="2" t="inlineStr">
        <is>
          <t>Hiroki Morishita Rei Kondoh</t>
        </is>
      </c>
      <c r="B219" s="2" t="inlineStr">
        <is>
          <t>Hiroki Morishita &amp; Rei Kondoh</t>
        </is>
      </c>
      <c r="C219" s="2" t="inlineStr">
        <is>
          <t>normalized</t>
        </is>
      </c>
      <c r="D219" s="2" t="n">
        <v>1</v>
      </c>
    </row>
    <row r="220">
      <c r="A220" s="2" t="inlineStr">
        <is>
          <t>HIRWA Florent</t>
        </is>
      </c>
      <c r="B220" s="2" t="inlineStr">
        <is>
          <t>HIRWA Florent</t>
        </is>
      </c>
      <c r="C220" s="2" t="inlineStr">
        <is>
          <t>kept</t>
        </is>
      </c>
      <c r="D220" s="2" t="n">
        <v>1</v>
      </c>
    </row>
    <row r="221">
      <c r="A221" s="2" t="inlineStr">
        <is>
          <t>Hitomi Sato</t>
        </is>
      </c>
      <c r="B221" s="2" t="inlineStr">
        <is>
          <t>Hitomi Sato</t>
        </is>
      </c>
      <c r="C221" s="2" t="inlineStr">
        <is>
          <t>kept</t>
        </is>
      </c>
      <c r="D221" s="2" t="n">
        <v>1</v>
      </c>
    </row>
    <row r="222">
      <c r="A222" s="2" t="inlineStr">
        <is>
          <t>Hoagy Carmichael</t>
        </is>
      </c>
      <c r="B222" s="2" t="inlineStr">
        <is>
          <t>Hoagy Carmichael</t>
        </is>
      </c>
      <c r="C222" s="2" t="inlineStr">
        <is>
          <t>kept</t>
        </is>
      </c>
      <c r="D222" s="2" t="n">
        <v>1</v>
      </c>
    </row>
    <row r="223">
      <c r="A223" s="2" t="inlineStr">
        <is>
          <t>Horst Wessel</t>
        </is>
      </c>
      <c r="B223" s="2" t="inlineStr">
        <is>
          <t>Horst Wessel</t>
        </is>
      </c>
      <c r="C223" s="2" t="inlineStr">
        <is>
          <t>kept</t>
        </is>
      </c>
      <c r="D223" s="2" t="n">
        <v>1</v>
      </c>
    </row>
    <row r="224">
      <c r="A224" s="2" t="inlineStr">
        <is>
          <t>Hubert Bauersachs</t>
        </is>
      </c>
      <c r="B224" s="2" t="inlineStr">
        <is>
          <t>Hubert Bauersachs</t>
        </is>
      </c>
      <c r="C224" s="2" t="inlineStr">
        <is>
          <t>kept</t>
        </is>
      </c>
      <c r="D224" s="2" t="n">
        <v>1</v>
      </c>
    </row>
    <row r="225">
      <c r="A225" s="2" t="inlineStr">
        <is>
          <t>Hugo Frey</t>
        </is>
      </c>
      <c r="B225" s="2" t="inlineStr">
        <is>
          <t>Hugo Frey</t>
        </is>
      </c>
      <c r="C225" s="2" t="inlineStr">
        <is>
          <t>kept</t>
        </is>
      </c>
      <c r="D225" s="2" t="n">
        <v>5</v>
      </c>
    </row>
    <row r="226">
      <c r="A226" s="2" t="inlineStr">
        <is>
          <t>Illenium</t>
        </is>
      </c>
      <c r="B226" s="2" t="inlineStr">
        <is>
          <t>Illenium</t>
        </is>
      </c>
      <c r="C226" s="2" t="inlineStr">
        <is>
          <t>kept</t>
        </is>
      </c>
      <c r="D226" s="2" t="n">
        <v>1</v>
      </c>
    </row>
    <row r="227">
      <c r="A227" s="2" t="inlineStr">
        <is>
          <t>Inky Scrolls</t>
        </is>
      </c>
      <c r="B227" s="2" t="inlineStr">
        <is>
          <t>Inky Scrolls</t>
        </is>
      </c>
      <c r="C227" s="2" t="inlineStr">
        <is>
          <t>kept</t>
        </is>
      </c>
      <c r="D227" s="2" t="n">
        <v>1</v>
      </c>
    </row>
    <row r="228">
      <c r="A228" s="2" t="inlineStr">
        <is>
          <t>Ismail Marzuki</t>
        </is>
      </c>
      <c r="B228" s="2" t="inlineStr">
        <is>
          <t>Ismail Marzuki</t>
        </is>
      </c>
      <c r="C228" s="2" t="inlineStr">
        <is>
          <t>kept</t>
        </is>
      </c>
      <c r="D228" s="2" t="n">
        <v>1</v>
      </c>
    </row>
    <row r="229">
      <c r="A229" s="2" t="inlineStr">
        <is>
          <t>J. C. Dovicchi</t>
        </is>
      </c>
      <c r="B229" s="2" t="inlineStr">
        <is>
          <t>J. C. Dovicchi</t>
        </is>
      </c>
      <c r="C229" s="2" t="inlineStr">
        <is>
          <t>kept</t>
        </is>
      </c>
      <c r="D229" s="2" t="n">
        <v>3</v>
      </c>
    </row>
    <row r="230">
      <c r="A230" s="2" t="inlineStr">
        <is>
          <t>J. C. Heed</t>
        </is>
      </c>
      <c r="B230" s="2" t="inlineStr">
        <is>
          <t>J. C. Heed</t>
        </is>
      </c>
      <c r="C230" s="2" t="inlineStr">
        <is>
          <t>kept</t>
        </is>
      </c>
      <c r="D230" s="2" t="n">
        <v>1</v>
      </c>
    </row>
    <row r="231">
      <c r="A231" s="2" t="inlineStr">
        <is>
          <t>J. DeLancey</t>
        </is>
      </c>
      <c r="B231" s="2" t="inlineStr">
        <is>
          <t>J. DeLancey</t>
        </is>
      </c>
      <c r="C231" s="2" t="inlineStr">
        <is>
          <t>kept</t>
        </is>
      </c>
      <c r="D231" s="2" t="n">
        <v>1</v>
      </c>
    </row>
    <row r="232">
      <c r="A232" s="2" t="inlineStr">
        <is>
          <t>J. F. WAGNER, Op. 159.</t>
        </is>
      </c>
      <c r="B232" s="2" t="inlineStr">
        <is>
          <t>J. F. Wagner</t>
        </is>
      </c>
      <c r="C232" s="2" t="inlineStr">
        <is>
          <t>normalized</t>
        </is>
      </c>
      <c r="D232" s="2" t="n">
        <v>1</v>
      </c>
    </row>
    <row r="233">
      <c r="A233" s="2" t="inlineStr">
        <is>
          <t>J. G. Bishop</t>
        </is>
      </c>
      <c r="B233" s="2" t="inlineStr">
        <is>
          <t>J. G. Bishop</t>
        </is>
      </c>
      <c r="C233" s="2" t="inlineStr">
        <is>
          <t>kept</t>
        </is>
      </c>
      <c r="D233" s="2" t="n">
        <v>1</v>
      </c>
    </row>
    <row r="234">
      <c r="A234" s="2" t="inlineStr">
        <is>
          <t>J. J. Watson.</t>
        </is>
      </c>
      <c r="B234" s="2" t="inlineStr">
        <is>
          <t>J. J. Watson</t>
        </is>
      </c>
      <c r="C234" s="2" t="inlineStr">
        <is>
          <t>normalized</t>
        </is>
      </c>
      <c r="D234" s="2" t="n">
        <v>1</v>
      </c>
    </row>
    <row r="235">
      <c r="A235" s="2" t="inlineStr">
        <is>
          <t>J. Monna.</t>
        </is>
      </c>
      <c r="B235" s="2" t="inlineStr">
        <is>
          <t>J. Monna</t>
        </is>
      </c>
      <c r="C235" s="2" t="inlineStr">
        <is>
          <t>normalized</t>
        </is>
      </c>
      <c r="D235" s="2" t="n">
        <v>1</v>
      </c>
    </row>
    <row r="236">
      <c r="A236" s="2" t="inlineStr">
        <is>
          <t>J. Russel Robinson</t>
        </is>
      </c>
      <c r="B236" s="2" t="inlineStr">
        <is>
          <t>J. Russel Robinson</t>
        </is>
      </c>
      <c r="C236" s="2" t="inlineStr">
        <is>
          <t>kept</t>
        </is>
      </c>
      <c r="D236" s="2" t="n">
        <v>1</v>
      </c>
    </row>
    <row r="237">
      <c r="A237" s="2" t="inlineStr">
        <is>
          <t>J. Russel Robinson.</t>
        </is>
      </c>
      <c r="B237" s="2" t="inlineStr">
        <is>
          <t>J. Russel Robinson</t>
        </is>
      </c>
      <c r="C237" s="2" t="inlineStr">
        <is>
          <t>normalized</t>
        </is>
      </c>
      <c r="D237" s="2" t="n">
        <v>1</v>
      </c>
    </row>
    <row r="238">
      <c r="A238" s="2" t="inlineStr">
        <is>
          <t>A Buzzin' Two-Step</t>
        </is>
      </c>
      <c r="B238" s="2" t="inlineStr">
        <is>
          <t>J.L.</t>
        </is>
      </c>
      <c r="C238" s="2" t="inlineStr">
        <is>
          <t>composer from score credits</t>
        </is>
      </c>
      <c r="D238" s="2" t="n">
        <v>1</v>
      </c>
    </row>
    <row r="239">
      <c r="A239" s="2" t="inlineStr">
        <is>
          <t>A Ragtime Swing</t>
        </is>
      </c>
      <c r="B239" s="2" t="inlineStr">
        <is>
          <t>J.L.</t>
        </is>
      </c>
      <c r="C239" s="2" t="inlineStr">
        <is>
          <t>composer from score credits</t>
        </is>
      </c>
      <c r="D239" s="2" t="n">
        <v>1</v>
      </c>
    </row>
    <row r="240">
      <c r="A240" s="2" t="inlineStr">
        <is>
          <t>J.P. Long &amp; Maurice Scott</t>
        </is>
      </c>
      <c r="B240" s="2" t="inlineStr">
        <is>
          <t>J.P. Long &amp; Maurice Scott</t>
        </is>
      </c>
      <c r="C240" s="2" t="inlineStr">
        <is>
          <t>kept</t>
        </is>
      </c>
      <c r="D240" s="2" t="n">
        <v>1</v>
      </c>
    </row>
    <row r="241">
      <c r="A241" s="2" t="inlineStr">
        <is>
          <t>Jacob D'Lallo</t>
        </is>
      </c>
      <c r="B241" s="2" t="inlineStr">
        <is>
          <t>Jacob D'Lallo</t>
        </is>
      </c>
      <c r="C241" s="2" t="inlineStr">
        <is>
          <t>kept</t>
        </is>
      </c>
      <c r="D241" s="2" t="n">
        <v>4</v>
      </c>
    </row>
    <row r="242">
      <c r="A242" s="2" t="inlineStr">
        <is>
          <t>Jacques Offenbach</t>
        </is>
      </c>
      <c r="B242" s="2" t="inlineStr">
        <is>
          <t>Jacques Offenbach</t>
        </is>
      </c>
      <c r="C242" s="2" t="inlineStr">
        <is>
          <t>kept</t>
        </is>
      </c>
      <c r="D242" s="2" t="n">
        <v>1</v>
      </c>
    </row>
    <row r="243">
      <c r="A243" s="2" t="inlineStr">
        <is>
          <t>Flute Cool</t>
        </is>
      </c>
      <c r="B243" s="2" t="inlineStr">
        <is>
          <t>JAM Project</t>
        </is>
      </c>
      <c r="C243" s="2" t="inlineStr">
        <is>
          <t>composer from score credits</t>
        </is>
      </c>
      <c r="D243" s="2" t="n">
        <v>1</v>
      </c>
    </row>
    <row r="244">
      <c r="A244" s="2" t="inlineStr">
        <is>
          <t>James A. Fairfield</t>
        </is>
      </c>
      <c r="B244" s="2" t="inlineStr">
        <is>
          <t>James A. Fairfield</t>
        </is>
      </c>
      <c r="C244" s="2" t="inlineStr">
        <is>
          <t>kept</t>
        </is>
      </c>
      <c r="D244" s="2" t="n">
        <v>1</v>
      </c>
    </row>
    <row r="245">
      <c r="A245" s="2" t="inlineStr">
        <is>
          <t>James Doan</t>
        </is>
      </c>
      <c r="B245" s="2" t="inlineStr">
        <is>
          <t>James Doan</t>
        </is>
      </c>
      <c r="C245" s="2" t="inlineStr">
        <is>
          <t>kept</t>
        </is>
      </c>
      <c r="D245" s="2" t="n">
        <v>1</v>
      </c>
    </row>
    <row r="246">
      <c r="A246" s="2" t="inlineStr">
        <is>
          <t>James Milton Black</t>
        </is>
      </c>
      <c r="B246" s="2" t="inlineStr">
        <is>
          <t>James Milton Black</t>
        </is>
      </c>
      <c r="C246" s="2" t="inlineStr">
        <is>
          <t>kept</t>
        </is>
      </c>
      <c r="D246" s="2" t="n">
        <v>1</v>
      </c>
    </row>
    <row r="247">
      <c r="A247" s="2" t="inlineStr">
        <is>
          <t>James Ryan Thompson</t>
        </is>
      </c>
      <c r="B247" s="2" t="inlineStr">
        <is>
          <t>James Ryan Thompson</t>
        </is>
      </c>
      <c r="C247" s="2" t="inlineStr">
        <is>
          <t>kept</t>
        </is>
      </c>
      <c r="D247" s="2" t="n">
        <v>1</v>
      </c>
    </row>
    <row r="248">
      <c r="A248" s="2" t="inlineStr">
        <is>
          <t>James Scott</t>
        </is>
      </c>
      <c r="B248" s="2" t="inlineStr">
        <is>
          <t>James Scott</t>
        </is>
      </c>
      <c r="C248" s="2" t="inlineStr">
        <is>
          <t>kept</t>
        </is>
      </c>
      <c r="D248" s="2" t="n">
        <v>3</v>
      </c>
    </row>
    <row r="249">
      <c r="A249" s="2" t="inlineStr">
        <is>
          <t>Jaroslav Ježek</t>
        </is>
      </c>
      <c r="B249" s="2" t="inlineStr">
        <is>
          <t>Jaroslav Ježek</t>
        </is>
      </c>
      <c r="C249" s="2" t="inlineStr">
        <is>
          <t>kept</t>
        </is>
      </c>
      <c r="D249" s="2" t="n">
        <v>1</v>
      </c>
    </row>
    <row r="250">
      <c r="A250" s="2" t="inlineStr">
        <is>
          <t>Jason Gofandi</t>
        </is>
      </c>
      <c r="B250" s="2" t="inlineStr">
        <is>
          <t>Jason Gofandi</t>
        </is>
      </c>
      <c r="C250" s="2" t="inlineStr">
        <is>
          <t>kept</t>
        </is>
      </c>
      <c r="D250" s="2" t="n">
        <v>1</v>
      </c>
    </row>
    <row r="251">
      <c r="A251" s="2" t="inlineStr">
        <is>
          <t>Jay Unger</t>
        </is>
      </c>
      <c r="B251" s="2" t="inlineStr">
        <is>
          <t>Jay Unger</t>
        </is>
      </c>
      <c r="C251" s="2" t="inlineStr">
        <is>
          <t>kept</t>
        </is>
      </c>
      <c r="D251" s="2" t="n">
        <v>1</v>
      </c>
    </row>
    <row r="252">
      <c r="A252" s="2" t="inlineStr">
        <is>
          <t>JaydenZap</t>
        </is>
      </c>
      <c r="B252" s="2" t="inlineStr">
        <is>
          <t>JaydenZap</t>
        </is>
      </c>
      <c r="C252" s="2" t="inlineStr">
        <is>
          <t>kept</t>
        </is>
      </c>
      <c r="D252" s="2" t="n">
        <v>1</v>
      </c>
    </row>
    <row r="253">
      <c r="A253" s="2" t="inlineStr">
        <is>
          <t>Jean Schwartz</t>
        </is>
      </c>
      <c r="B253" s="2" t="inlineStr">
        <is>
          <t>Jean Schwartz</t>
        </is>
      </c>
      <c r="C253" s="2" t="inlineStr">
        <is>
          <t>kept</t>
        </is>
      </c>
      <c r="D253" s="2" t="n">
        <v>2</v>
      </c>
    </row>
    <row r="254">
      <c r="A254" s="2" t="inlineStr">
        <is>
          <t>Jean-Baptiste Duvernoy</t>
        </is>
      </c>
      <c r="B254" s="2" t="inlineStr">
        <is>
          <t>Jean-Baptiste Duvernoy</t>
        </is>
      </c>
      <c r="C254" s="2" t="inlineStr">
        <is>
          <t>kept</t>
        </is>
      </c>
      <c r="D254" s="2" t="n">
        <v>2</v>
      </c>
    </row>
    <row r="255">
      <c r="A255" s="2" t="inlineStr">
        <is>
          <t>J. B. Lully</t>
        </is>
      </c>
      <c r="B255" s="2" t="inlineStr">
        <is>
          <t>Jean-Baptiste Lully</t>
        </is>
      </c>
      <c r="C255" s="2" t="inlineStr">
        <is>
          <t>normalized</t>
        </is>
      </c>
      <c r="D255" s="2" t="n">
        <v>1</v>
      </c>
    </row>
    <row r="256">
      <c r="A256" s="2" t="inlineStr">
        <is>
          <t>Jean-Philippe Rameau</t>
        </is>
      </c>
      <c r="B256" s="2" t="inlineStr">
        <is>
          <t>Jean-Philippe Rameau</t>
        </is>
      </c>
      <c r="C256" s="2" t="inlineStr">
        <is>
          <t>kept</t>
        </is>
      </c>
      <c r="D256" s="2" t="n">
        <v>3</v>
      </c>
    </row>
    <row r="257">
      <c r="A257" s="2" t="inlineStr">
        <is>
          <t>FERD “Jelly Roll” MORTON</t>
        </is>
      </c>
      <c r="B257" s="2" t="inlineStr">
        <is>
          <t>Jelly Roll Morton</t>
        </is>
      </c>
      <c r="C257" s="2" t="inlineStr">
        <is>
          <t>normalized</t>
        </is>
      </c>
      <c r="D257" s="2" t="n">
        <v>1</v>
      </c>
    </row>
    <row r="258">
      <c r="A258" s="2" t="inlineStr">
        <is>
          <t>Jemell Werner</t>
        </is>
      </c>
      <c r="B258" s="2" t="inlineStr">
        <is>
          <t>Jemell Werner</t>
        </is>
      </c>
      <c r="C258" s="2" t="inlineStr">
        <is>
          <t>kept</t>
        </is>
      </c>
      <c r="D258" s="2" t="n">
        <v>1</v>
      </c>
    </row>
    <row r="259">
      <c r="A259" s="2" t="inlineStr">
        <is>
          <t>Jeremiah Clarke</t>
        </is>
      </c>
      <c r="B259" s="2" t="inlineStr">
        <is>
          <t>Jeremiah Clarke</t>
        </is>
      </c>
      <c r="C259" s="2" t="inlineStr">
        <is>
          <t>kept</t>
        </is>
      </c>
      <c r="D259" s="2" t="n">
        <v>1</v>
      </c>
    </row>
    <row r="260">
      <c r="A260" s="2" t="inlineStr">
        <is>
          <t>Comp. Jeremy Kittel</t>
        </is>
      </c>
      <c r="B260" s="2" t="inlineStr">
        <is>
          <t>Jeremy Kittel</t>
        </is>
      </c>
      <c r="C260" s="2" t="inlineStr">
        <is>
          <t>normalized</t>
        </is>
      </c>
      <c r="D260" s="2" t="n">
        <v>1</v>
      </c>
    </row>
    <row r="261">
      <c r="A261" s="2" t="inlineStr">
        <is>
          <t>Jeremy Soule</t>
        </is>
      </c>
      <c r="B261" s="2" t="inlineStr">
        <is>
          <t>Jeremy Soule</t>
        </is>
      </c>
      <c r="C261" s="2" t="inlineStr">
        <is>
          <t>kept</t>
        </is>
      </c>
      <c r="D261" s="2" t="n">
        <v>1</v>
      </c>
    </row>
    <row r="262">
      <c r="A262" s="2" t="inlineStr">
        <is>
          <t>Jerry Bustillo</t>
        </is>
      </c>
      <c r="B262" s="2" t="inlineStr">
        <is>
          <t>Jerry Bustillo</t>
        </is>
      </c>
      <c r="C262" s="2" t="inlineStr">
        <is>
          <t>kept</t>
        </is>
      </c>
      <c r="D262" s="2" t="n">
        <v>1</v>
      </c>
    </row>
    <row r="263">
      <c r="A263" s="2" t="inlineStr">
        <is>
          <t>Jesse Greer</t>
        </is>
      </c>
      <c r="B263" s="2" t="inlineStr">
        <is>
          <t>Jesse Greer</t>
        </is>
      </c>
      <c r="C263" s="2" t="inlineStr">
        <is>
          <t>kept</t>
        </is>
      </c>
      <c r="D263" s="2" t="n">
        <v>1</v>
      </c>
    </row>
    <row r="264">
      <c r="A264" s="2" t="inlineStr">
        <is>
          <t>Jim Bumgardner</t>
        </is>
      </c>
      <c r="B264" s="2" t="inlineStr">
        <is>
          <t>Jim Bumgardner</t>
        </is>
      </c>
      <c r="C264" s="2" t="inlineStr">
        <is>
          <t>kept</t>
        </is>
      </c>
      <c r="D264" s="2" t="n">
        <v>1</v>
      </c>
    </row>
    <row r="265">
      <c r="A265" s="2" t="inlineStr">
        <is>
          <t>J. Raff</t>
        </is>
      </c>
      <c r="B265" s="2" t="inlineStr">
        <is>
          <t>Joachim Raff</t>
        </is>
      </c>
      <c r="C265" s="2" t="inlineStr">
        <is>
          <t>normalized</t>
        </is>
      </c>
      <c r="D265" s="2" t="n">
        <v>1</v>
      </c>
    </row>
    <row r="266">
      <c r="A266" s="2" t="inlineStr">
        <is>
          <t>Joe Hisaishi</t>
        </is>
      </c>
      <c r="B266" s="2" t="inlineStr">
        <is>
          <t>Joe Hisaishi</t>
        </is>
      </c>
      <c r="C266" s="2" t="inlineStr">
        <is>
          <t>kept</t>
        </is>
      </c>
      <c r="D266" s="2" t="n">
        <v>2</v>
      </c>
    </row>
    <row r="267">
      <c r="A267" s="2" t="inlineStr">
        <is>
          <t>Joe Hollander</t>
        </is>
      </c>
      <c r="B267" s="2" t="inlineStr">
        <is>
          <t>Joe Hollander</t>
        </is>
      </c>
      <c r="C267" s="2" t="inlineStr">
        <is>
          <t>kept</t>
        </is>
      </c>
      <c r="D267" s="2" t="n">
        <v>1</v>
      </c>
    </row>
    <row r="268">
      <c r="A268" s="2" t="inlineStr">
        <is>
          <t>Joe. Hollander &amp; Dan Dody</t>
        </is>
      </c>
      <c r="B268" s="2" t="inlineStr">
        <is>
          <t>Joe Hollander &amp; Dan Dody</t>
        </is>
      </c>
      <c r="C268" s="2" t="inlineStr">
        <is>
          <t>normalized</t>
        </is>
      </c>
      <c r="D268" s="2" t="n">
        <v>1</v>
      </c>
    </row>
    <row r="269">
      <c r="A269" s="2" t="inlineStr">
        <is>
          <t>Joe White</t>
        </is>
      </c>
      <c r="B269" s="2" t="inlineStr">
        <is>
          <t>Joe White</t>
        </is>
      </c>
      <c r="C269" s="2" t="inlineStr">
        <is>
          <t>kept</t>
        </is>
      </c>
      <c r="D269" s="2" t="n">
        <v>1</v>
      </c>
    </row>
    <row r="270">
      <c r="A270" s="2" t="inlineStr">
        <is>
          <t>Pachelbel</t>
        </is>
      </c>
      <c r="B270" s="2" t="inlineStr">
        <is>
          <t>Johann Pachelbel</t>
        </is>
      </c>
      <c r="C270" s="2" t="inlineStr">
        <is>
          <t>normalized</t>
        </is>
      </c>
      <c r="D270" s="2" t="n">
        <v>1</v>
      </c>
    </row>
    <row r="271">
      <c r="A271" s="2" t="inlineStr">
        <is>
          <t>Johann Peter Pixis. Op.10.</t>
        </is>
      </c>
      <c r="B271" s="2" t="inlineStr">
        <is>
          <t>Johann Peter Pixis</t>
        </is>
      </c>
      <c r="C271" s="2" t="inlineStr">
        <is>
          <t>normalized</t>
        </is>
      </c>
      <c r="D271" s="2" t="n">
        <v>1</v>
      </c>
    </row>
    <row r="272">
      <c r="A272" s="2" t="inlineStr">
        <is>
          <t>Johann Strauss.</t>
        </is>
      </c>
      <c r="B272" s="2" t="inlineStr">
        <is>
          <t>Johann Strauss</t>
        </is>
      </c>
      <c r="C272" s="2" t="inlineStr">
        <is>
          <t>normalized</t>
        </is>
      </c>
      <c r="D272" s="2" t="n">
        <v>1</v>
      </c>
    </row>
    <row r="273">
      <c r="A273" s="2" t="inlineStr">
        <is>
          <t>Johann Wanhal Opus 42, No. 1</t>
        </is>
      </c>
      <c r="B273" s="2" t="inlineStr">
        <is>
          <t>Johann Wanhal</t>
        </is>
      </c>
      <c r="C273" s="2" t="inlineStr">
        <is>
          <t>normalized</t>
        </is>
      </c>
      <c r="D273" s="2" t="n">
        <v>1</v>
      </c>
    </row>
    <row r="274">
      <c r="A274" s="2" t="inlineStr">
        <is>
          <t>John Field</t>
        </is>
      </c>
      <c r="B274" s="2" t="inlineStr">
        <is>
          <t>John Field</t>
        </is>
      </c>
      <c r="C274" s="2" t="inlineStr">
        <is>
          <t>kept</t>
        </is>
      </c>
      <c r="D274" s="2" t="n">
        <v>1</v>
      </c>
    </row>
    <row r="275">
      <c r="A275" s="2" t="inlineStr">
        <is>
          <t>John Newton</t>
        </is>
      </c>
      <c r="B275" s="2" t="inlineStr">
        <is>
          <t>John Newton</t>
        </is>
      </c>
      <c r="C275" s="2" t="inlineStr">
        <is>
          <t>kept</t>
        </is>
      </c>
      <c r="D275" s="2" t="n">
        <v>1</v>
      </c>
    </row>
    <row r="276">
      <c r="A276" s="2" t="inlineStr">
        <is>
          <t>John Philip Sousa</t>
        </is>
      </c>
      <c r="B276" s="2" t="inlineStr">
        <is>
          <t>John Philip Sousa</t>
        </is>
      </c>
      <c r="C276" s="2" t="inlineStr">
        <is>
          <t>kept</t>
        </is>
      </c>
      <c r="D276" s="2" t="n">
        <v>1</v>
      </c>
    </row>
    <row r="277">
      <c r="A277" s="2" t="inlineStr">
        <is>
          <t>John Powell</t>
        </is>
      </c>
      <c r="B277" s="2" t="inlineStr">
        <is>
          <t>John Powell</t>
        </is>
      </c>
      <c r="C277" s="2" t="inlineStr">
        <is>
          <t>kept</t>
        </is>
      </c>
      <c r="D277" s="2" t="n">
        <v>1</v>
      </c>
    </row>
    <row r="278">
      <c r="A278" s="2" t="inlineStr">
        <is>
          <t>John Rehm, Jr.</t>
        </is>
      </c>
      <c r="B278" s="2" t="inlineStr">
        <is>
          <t>John Rehm, Jr.</t>
        </is>
      </c>
      <c r="C278" s="2" t="inlineStr">
        <is>
          <t>kept</t>
        </is>
      </c>
      <c r="D278" s="2" t="n">
        <v>1</v>
      </c>
    </row>
    <row r="279">
      <c r="A279" s="2" t="inlineStr">
        <is>
          <t>Original music by John Welsman</t>
        </is>
      </c>
      <c r="B279" s="2" t="inlineStr">
        <is>
          <t>John Welsman</t>
        </is>
      </c>
      <c r="C279" s="2" t="inlineStr">
        <is>
          <t>normalized</t>
        </is>
      </c>
      <c r="D279" s="2" t="n">
        <v>1</v>
      </c>
    </row>
    <row r="280">
      <c r="A280" s="2" t="inlineStr">
        <is>
          <t>Johnny Marr</t>
        </is>
      </c>
      <c r="B280" s="2" t="inlineStr">
        <is>
          <t>Johnny Marr</t>
        </is>
      </c>
      <c r="C280" s="2" t="inlineStr">
        <is>
          <t>kept</t>
        </is>
      </c>
      <c r="D280" s="2" t="n">
        <v>1</v>
      </c>
    </row>
    <row r="281">
      <c r="A281" s="2" t="inlineStr">
        <is>
          <t>Joia Araguàs</t>
        </is>
      </c>
      <c r="B281" s="2" t="inlineStr">
        <is>
          <t>Joia Araguàs</t>
        </is>
      </c>
      <c r="C281" s="2" t="inlineStr">
        <is>
          <t>kept</t>
        </is>
      </c>
      <c r="D281" s="2" t="n">
        <v>1</v>
      </c>
    </row>
    <row r="282">
      <c r="A282" s="2" t="inlineStr">
        <is>
          <t>Jonathan Sheehy</t>
        </is>
      </c>
      <c r="B282" s="2" t="inlineStr">
        <is>
          <t>Jonathan Sheehy</t>
        </is>
      </c>
      <c r="C282" s="2" t="inlineStr">
        <is>
          <t>kept</t>
        </is>
      </c>
      <c r="D282" s="2" t="n">
        <v>1</v>
      </c>
    </row>
    <row r="283">
      <c r="A283" s="2" t="inlineStr">
        <is>
          <t>Jordan Thukkaram</t>
        </is>
      </c>
      <c r="B283" s="2" t="inlineStr">
        <is>
          <t>Jordan Thukkaram</t>
        </is>
      </c>
      <c r="C283" s="2" t="inlineStr">
        <is>
          <t>kept</t>
        </is>
      </c>
      <c r="D283" s="2" t="n">
        <v>1</v>
      </c>
    </row>
    <row r="284">
      <c r="A284" s="2" t="inlineStr">
        <is>
          <t>Joseph F. Lamb</t>
        </is>
      </c>
      <c r="B284" s="2" t="inlineStr">
        <is>
          <t>Joseph F. Lamb</t>
        </is>
      </c>
      <c r="C284" s="2" t="inlineStr">
        <is>
          <t>kept</t>
        </is>
      </c>
      <c r="D284" s="2" t="n">
        <v>2</v>
      </c>
    </row>
    <row r="285">
      <c r="A285" s="2" t="inlineStr">
        <is>
          <t>AMELIA L. LAMB and JOSEPH F. LAMB</t>
        </is>
      </c>
      <c r="B285" s="2" t="inlineStr">
        <is>
          <t>Joseph F. Lamb &amp; Amelia L. Lamb</t>
        </is>
      </c>
      <c r="C285" s="2" t="inlineStr">
        <is>
          <t>normalized</t>
        </is>
      </c>
      <c r="D285" s="2" t="n">
        <v>1</v>
      </c>
    </row>
    <row r="286">
      <c r="A286" s="2" t="inlineStr">
        <is>
          <t>Joseph Michael Daly</t>
        </is>
      </c>
      <c r="B286" s="2" t="inlineStr">
        <is>
          <t>Joseph Michael Daly</t>
        </is>
      </c>
      <c r="C286" s="2" t="inlineStr">
        <is>
          <t>kept</t>
        </is>
      </c>
      <c r="D286" s="2" t="n">
        <v>1</v>
      </c>
    </row>
    <row r="287">
      <c r="A287" s="2" t="inlineStr">
        <is>
          <t>Josh DaBell</t>
        </is>
      </c>
      <c r="B287" s="2" t="inlineStr">
        <is>
          <t>Josh DaBell</t>
        </is>
      </c>
      <c r="C287" s="2" t="inlineStr">
        <is>
          <t>kept</t>
        </is>
      </c>
      <c r="D287" s="2" t="n">
        <v>1</v>
      </c>
    </row>
    <row r="288">
      <c r="A288" s="2" t="inlineStr">
        <is>
          <t>Josh Ian Marshall</t>
        </is>
      </c>
      <c r="B288" s="2" t="inlineStr">
        <is>
          <t>Josh Ian Marshall</t>
        </is>
      </c>
      <c r="C288" s="2" t="inlineStr">
        <is>
          <t>kept</t>
        </is>
      </c>
      <c r="D288" s="2" t="n">
        <v>1</v>
      </c>
    </row>
    <row r="289">
      <c r="A289" s="2" t="inlineStr">
        <is>
          <t>José Fernández Diaz</t>
        </is>
      </c>
      <c r="B289" s="2" t="inlineStr">
        <is>
          <t>José Fernández Diaz</t>
        </is>
      </c>
      <c r="C289" s="2" t="inlineStr">
        <is>
          <t>kept</t>
        </is>
      </c>
      <c r="D289" s="2" t="n">
        <v>1</v>
      </c>
    </row>
    <row r="290">
      <c r="A290" s="2" t="inlineStr">
        <is>
          <t>José Soriano</t>
        </is>
      </c>
      <c r="B290" s="2" t="inlineStr">
        <is>
          <t>José Soriano</t>
        </is>
      </c>
      <c r="C290" s="2" t="inlineStr">
        <is>
          <t>kept</t>
        </is>
      </c>
      <c r="D290" s="2" t="n">
        <v>1</v>
      </c>
    </row>
    <row r="291">
      <c r="A291" s="2" t="inlineStr">
        <is>
          <t>José-Daniel Martínez-Miranda</t>
        </is>
      </c>
      <c r="B291" s="2" t="inlineStr">
        <is>
          <t>José-Daniel Martínez-Miranda</t>
        </is>
      </c>
      <c r="C291" s="2" t="inlineStr">
        <is>
          <t>kept</t>
        </is>
      </c>
      <c r="D291" s="2" t="n">
        <v>1</v>
      </c>
    </row>
    <row r="292">
      <c r="A292" s="2" t="inlineStr">
        <is>
          <t>Juha Tapio</t>
        </is>
      </c>
      <c r="B292" s="2" t="inlineStr">
        <is>
          <t>Juha Tapio</t>
        </is>
      </c>
      <c r="C292" s="2" t="inlineStr">
        <is>
          <t>kept</t>
        </is>
      </c>
      <c r="D292" s="2" t="n">
        <v>1</v>
      </c>
    </row>
    <row r="293">
      <c r="A293" s="2" t="inlineStr">
        <is>
          <t>Justin Clérice</t>
        </is>
      </c>
      <c r="B293" s="2" t="inlineStr">
        <is>
          <t>Justin Clérice</t>
        </is>
      </c>
      <c r="C293" s="2" t="inlineStr">
        <is>
          <t>kept</t>
        </is>
      </c>
      <c r="D293" s="2" t="n">
        <v>1</v>
      </c>
    </row>
    <row r="294">
      <c r="A294" s="2" t="inlineStr">
        <is>
          <t>Justine Shelton</t>
        </is>
      </c>
      <c r="B294" s="2" t="inlineStr">
        <is>
          <t>Justine Shelton</t>
        </is>
      </c>
      <c r="C294" s="2" t="inlineStr">
        <is>
          <t>kept</t>
        </is>
      </c>
      <c r="D294" s="2" t="n">
        <v>1</v>
      </c>
    </row>
    <row r="295">
      <c r="A295" s="2" t="inlineStr">
        <is>
          <t>K. S.</t>
        </is>
      </c>
      <c r="B295" s="2" t="inlineStr">
        <is>
          <t>K. S.</t>
        </is>
      </c>
      <c r="C295" s="2" t="inlineStr">
        <is>
          <t>kept</t>
        </is>
      </c>
      <c r="D295" s="2" t="n">
        <v>1</v>
      </c>
    </row>
    <row r="296">
      <c r="A296" s="2" t="inlineStr">
        <is>
          <t>K.A. Karlov</t>
        </is>
      </c>
      <c r="B296" s="2" t="inlineStr">
        <is>
          <t>K.A. Karlov</t>
        </is>
      </c>
      <c r="C296" s="2" t="inlineStr">
        <is>
          <t>kept</t>
        </is>
      </c>
      <c r="D296" s="2" t="n">
        <v>1</v>
      </c>
    </row>
    <row r="297">
      <c r="A297" s="2" t="inlineStr">
        <is>
          <t>Karl King</t>
        </is>
      </c>
      <c r="B297" s="2" t="inlineStr">
        <is>
          <t>Karl King</t>
        </is>
      </c>
      <c r="C297" s="2" t="inlineStr">
        <is>
          <t>kept</t>
        </is>
      </c>
      <c r="D297" s="2" t="n">
        <v>1</v>
      </c>
    </row>
    <row r="298">
      <c r="A298" s="2" t="inlineStr">
        <is>
          <t>Katherina Ward</t>
        </is>
      </c>
      <c r="B298" s="2" t="inlineStr">
        <is>
          <t>Katherina Ward</t>
        </is>
      </c>
      <c r="C298" s="2" t="inlineStr">
        <is>
          <t>kept</t>
        </is>
      </c>
      <c r="D298" s="2" t="n">
        <v>1</v>
      </c>
    </row>
    <row r="299">
      <c r="A299" s="2" t="inlineStr">
        <is>
          <t>Keith Jarrett</t>
        </is>
      </c>
      <c r="B299" s="2" t="inlineStr">
        <is>
          <t>Keith Jarrett</t>
        </is>
      </c>
      <c r="C299" s="2" t="inlineStr">
        <is>
          <t>kept</t>
        </is>
      </c>
      <c r="D299" s="2" t="n">
        <v>1</v>
      </c>
    </row>
    <row r="300">
      <c r="A300" s="2" t="inlineStr">
        <is>
          <t>Kelsey Simpkins</t>
        </is>
      </c>
      <c r="B300" s="2" t="inlineStr">
        <is>
          <t>Kelsey Simpkins</t>
        </is>
      </c>
      <c r="C300" s="2" t="inlineStr">
        <is>
          <t>kept</t>
        </is>
      </c>
      <c r="D300" s="2" t="n">
        <v>1</v>
      </c>
    </row>
    <row r="301">
      <c r="A301" s="2" t="inlineStr">
        <is>
          <t>Original Music by Kenji Hiramatsu</t>
        </is>
      </c>
      <c r="B301" s="2" t="inlineStr">
        <is>
          <t>Kenji Hiramatsu</t>
        </is>
      </c>
      <c r="C301" s="2" t="inlineStr">
        <is>
          <t>normalized</t>
        </is>
      </c>
      <c r="D301" s="2" t="n">
        <v>1</v>
      </c>
    </row>
    <row r="302">
      <c r="A302" s="2" t="inlineStr">
        <is>
          <t>Kenny Yang</t>
        </is>
      </c>
      <c r="B302" s="2" t="inlineStr">
        <is>
          <t>Kenny Yang</t>
        </is>
      </c>
      <c r="C302" s="2" t="inlineStr">
        <is>
          <t>kept</t>
        </is>
      </c>
      <c r="D302" s="2" t="n">
        <v>1</v>
      </c>
    </row>
    <row r="303">
      <c r="A303" s="2" t="inlineStr">
        <is>
          <t>Kevin</t>
        </is>
      </c>
      <c r="B303" s="2" t="inlineStr">
        <is>
          <t>Kevin</t>
        </is>
      </c>
      <c r="C303" s="2" t="inlineStr">
        <is>
          <t>kept</t>
        </is>
      </c>
      <c r="D303" s="2" t="n">
        <v>1</v>
      </c>
    </row>
    <row r="304">
      <c r="A304" s="2" t="inlineStr">
        <is>
          <t>Kina</t>
        </is>
      </c>
      <c r="B304" s="2" t="inlineStr">
        <is>
          <t>Kina</t>
        </is>
      </c>
      <c r="C304" s="2" t="inlineStr">
        <is>
          <t>kept</t>
        </is>
      </c>
      <c r="D304" s="2" t="n">
        <v>1</v>
      </c>
    </row>
    <row r="305">
      <c r="A305" s="2" t="inlineStr">
        <is>
          <t>KingAvery</t>
        </is>
      </c>
      <c r="B305" s="2" t="inlineStr">
        <is>
          <t>KingAvery</t>
        </is>
      </c>
      <c r="C305" s="2" t="inlineStr">
        <is>
          <t>kept</t>
        </is>
      </c>
      <c r="D305" s="2" t="n">
        <v>1</v>
      </c>
    </row>
    <row r="306">
      <c r="A306" s="2" t="inlineStr">
        <is>
          <t>Kingsmore Turner</t>
        </is>
      </c>
      <c r="B306" s="2" t="inlineStr">
        <is>
          <t>Kingsmore Turner</t>
        </is>
      </c>
      <c r="C306" s="2" t="inlineStr">
        <is>
          <t>kept</t>
        </is>
      </c>
      <c r="D306" s="2" t="n">
        <v>1</v>
      </c>
    </row>
    <row r="307">
      <c r="A307" s="2" t="inlineStr">
        <is>
          <t>Koji Kondo</t>
        </is>
      </c>
      <c r="B307" s="2" t="inlineStr">
        <is>
          <t>Koji Kondo</t>
        </is>
      </c>
      <c r="C307" s="2" t="inlineStr">
        <is>
          <t>kept</t>
        </is>
      </c>
      <c r="D307" s="2" t="n">
        <v>2</v>
      </c>
    </row>
    <row r="308">
      <c r="A308" s="2" t="inlineStr">
        <is>
          <t>Kolton Bostrom</t>
        </is>
      </c>
      <c r="B308" s="2" t="inlineStr">
        <is>
          <t>Kolton Bostrom</t>
        </is>
      </c>
      <c r="C308" s="2" t="inlineStr">
        <is>
          <t>kept</t>
        </is>
      </c>
      <c r="D308" s="2" t="n">
        <v>1</v>
      </c>
    </row>
    <row r="309">
      <c r="A309" s="2" t="inlineStr">
        <is>
          <t>Konstantin Listov</t>
        </is>
      </c>
      <c r="B309" s="2" t="inlineStr">
        <is>
          <t>Konstantin Listov</t>
        </is>
      </c>
      <c r="C309" s="2" t="inlineStr">
        <is>
          <t>kept</t>
        </is>
      </c>
      <c r="D309" s="2" t="n">
        <v>1</v>
      </c>
    </row>
    <row r="310">
      <c r="A310" s="2" t="inlineStr">
        <is>
          <t>Kris Küblycyk</t>
        </is>
      </c>
      <c r="B310" s="2" t="inlineStr">
        <is>
          <t>Kris Küblycyk</t>
        </is>
      </c>
      <c r="C310" s="2" t="inlineStr">
        <is>
          <t>kept</t>
        </is>
      </c>
      <c r="D310" s="2" t="n">
        <v>1</v>
      </c>
    </row>
    <row r="311">
      <c r="A311" s="2" t="inlineStr">
        <is>
          <t>Kristen Anderson-Lopez</t>
        </is>
      </c>
      <c r="B311" s="2" t="inlineStr">
        <is>
          <t>Kristen Anderson-Lopez</t>
        </is>
      </c>
      <c r="C311" s="2" t="inlineStr">
        <is>
          <t>kept</t>
        </is>
      </c>
      <c r="D311" s="2" t="n">
        <v>1</v>
      </c>
    </row>
    <row r="312">
      <c r="A312" s="2" t="inlineStr">
        <is>
          <t>Kristina Gao</t>
        </is>
      </c>
      <c r="B312" s="2" t="inlineStr">
        <is>
          <t>Kristina Gao</t>
        </is>
      </c>
      <c r="C312" s="2" t="inlineStr">
        <is>
          <t>kept</t>
        </is>
      </c>
      <c r="D312" s="2" t="n">
        <v>1</v>
      </c>
    </row>
    <row r="313">
      <c r="A313" s="2" t="inlineStr">
        <is>
          <t>Kurt Cobain &amp; Ramin Djawadi</t>
        </is>
      </c>
      <c r="B313" s="2" t="inlineStr">
        <is>
          <t>Kurt Cobain &amp; Ramin Djawadi</t>
        </is>
      </c>
      <c r="C313" s="2" t="inlineStr">
        <is>
          <t>kept</t>
        </is>
      </c>
      <c r="D313" s="2" t="n">
        <v>1</v>
      </c>
    </row>
    <row r="314">
      <c r="A314" s="2" t="inlineStr">
        <is>
          <t>Kōichi Sugiyama</t>
        </is>
      </c>
      <c r="B314" s="2" t="inlineStr">
        <is>
          <t>Kōichi Sugiyama</t>
        </is>
      </c>
      <c r="C314" s="2" t="inlineStr">
        <is>
          <t>kept</t>
        </is>
      </c>
      <c r="D314" s="2" t="n">
        <v>1</v>
      </c>
    </row>
    <row r="315">
      <c r="A315" s="2" t="inlineStr">
        <is>
          <t>Lasse Becker</t>
        </is>
      </c>
      <c r="B315" s="2" t="inlineStr">
        <is>
          <t>Lasse Becker</t>
        </is>
      </c>
      <c r="C315" s="2" t="inlineStr">
        <is>
          <t>kept</t>
        </is>
      </c>
      <c r="D315" s="2" t="n">
        <v>1</v>
      </c>
    </row>
    <row r="316">
      <c r="A316" s="2" t="inlineStr">
        <is>
          <t>Lastigs13</t>
        </is>
      </c>
      <c r="B316" s="2" t="inlineStr">
        <is>
          <t>Lastigs13</t>
        </is>
      </c>
      <c r="C316" s="2" t="inlineStr">
        <is>
          <t>kept</t>
        </is>
      </c>
      <c r="D316" s="2" t="n">
        <v>1</v>
      </c>
    </row>
    <row r="317">
      <c r="A317" s="2" t="inlineStr">
        <is>
          <t>Lauren Harmon</t>
        </is>
      </c>
      <c r="B317" s="2" t="inlineStr">
        <is>
          <t>Lauren Harmon</t>
        </is>
      </c>
      <c r="C317" s="2" t="inlineStr">
        <is>
          <t>kept</t>
        </is>
      </c>
      <c r="D317" s="2" t="n">
        <v>1</v>
      </c>
    </row>
    <row r="318">
      <c r="A318" s="2" t="inlineStr">
        <is>
          <t>Lawliet</t>
        </is>
      </c>
      <c r="B318" s="2" t="inlineStr">
        <is>
          <t>Lawliet</t>
        </is>
      </c>
      <c r="C318" s="2" t="inlineStr">
        <is>
          <t>kept</t>
        </is>
      </c>
      <c r="D318" s="2" t="n">
        <v>1</v>
      </c>
    </row>
    <row r="319">
      <c r="A319" s="2" t="inlineStr">
        <is>
          <t>Leandro Goulart Bernardo</t>
        </is>
      </c>
      <c r="B319" s="2" t="inlineStr">
        <is>
          <t>Leandro Goulart Bernardo</t>
        </is>
      </c>
      <c r="C319" s="2" t="inlineStr">
        <is>
          <t>kept</t>
        </is>
      </c>
      <c r="D319" s="2" t="n">
        <v>1</v>
      </c>
    </row>
    <row r="320">
      <c r="A320" s="2" t="inlineStr">
        <is>
          <t>Letícia Rezende</t>
        </is>
      </c>
      <c r="B320" s="2" t="inlineStr">
        <is>
          <t>Letícia Rezende</t>
        </is>
      </c>
      <c r="C320" s="2" t="inlineStr">
        <is>
          <t>kept</t>
        </is>
      </c>
      <c r="D320" s="2" t="n">
        <v>1</v>
      </c>
    </row>
    <row r="321">
      <c r="A321" s="2" t="inlineStr">
        <is>
          <t>Libbie Erickson</t>
        </is>
      </c>
      <c r="B321" s="2" t="inlineStr">
        <is>
          <t>Libbie Erickson</t>
        </is>
      </c>
      <c r="C321" s="2" t="inlineStr">
        <is>
          <t>kept</t>
        </is>
      </c>
      <c r="D321" s="2" t="n">
        <v>2</v>
      </c>
    </row>
    <row r="322">
      <c r="A322" s="2" t="inlineStr">
        <is>
          <t>Lili BOULANGER</t>
        </is>
      </c>
      <c r="B322" s="2" t="inlineStr">
        <is>
          <t>Lili Boulanger</t>
        </is>
      </c>
      <c r="C322" s="2" t="inlineStr">
        <is>
          <t>normalized</t>
        </is>
      </c>
      <c r="D322" s="2" t="n">
        <v>1</v>
      </c>
    </row>
    <row r="323">
      <c r="A323" s="2" t="inlineStr">
        <is>
          <t>Lionel Belasco</t>
        </is>
      </c>
      <c r="B323" s="2" t="inlineStr">
        <is>
          <t>Lionel Belasco</t>
        </is>
      </c>
      <c r="C323" s="2" t="inlineStr">
        <is>
          <t>kept</t>
        </is>
      </c>
      <c r="D323" s="2" t="n">
        <v>1</v>
      </c>
    </row>
    <row r="324">
      <c r="A324" s="2" t="inlineStr">
        <is>
          <t>Little Music Girl</t>
        </is>
      </c>
      <c r="B324" s="2" t="inlineStr">
        <is>
          <t>Little Music Girl</t>
        </is>
      </c>
      <c r="C324" s="2" t="inlineStr">
        <is>
          <t>kept</t>
        </is>
      </c>
      <c r="D324" s="2" t="n">
        <v>1</v>
      </c>
    </row>
    <row r="325">
      <c r="A325" s="2" t="inlineStr">
        <is>
          <t>Danger Zone</t>
        </is>
      </c>
      <c r="B325" s="2" t="inlineStr">
        <is>
          <t>Lorde</t>
        </is>
      </c>
      <c r="C325" s="2" t="inlineStr">
        <is>
          <t>composer from score credits</t>
        </is>
      </c>
      <c r="D325" s="2" t="n">
        <v>2</v>
      </c>
    </row>
    <row r="326">
      <c r="A326" s="2" t="inlineStr">
        <is>
          <t>Louis F. Gottschalk</t>
        </is>
      </c>
      <c r="B326" s="2" t="inlineStr">
        <is>
          <t>Louis Moreau Gottschalk</t>
        </is>
      </c>
      <c r="C326" s="2" t="inlineStr">
        <is>
          <t>normalized</t>
        </is>
      </c>
      <c r="D326" s="2" t="n">
        <v>1</v>
      </c>
    </row>
    <row r="327">
      <c r="A327" s="2" t="inlineStr">
        <is>
          <t>Lucas Rodriguez &amp; Tyler Brundage</t>
        </is>
      </c>
      <c r="B327" s="2" t="inlineStr">
        <is>
          <t>Lucas Rodriguez &amp; Tyler Brundage</t>
        </is>
      </c>
      <c r="C327" s="2" t="inlineStr">
        <is>
          <t>kept</t>
        </is>
      </c>
      <c r="D327" s="2" t="n">
        <v>1</v>
      </c>
    </row>
    <row r="328">
      <c r="A328" s="2" t="inlineStr">
        <is>
          <t>Luigi Rubino</t>
        </is>
      </c>
      <c r="B328" s="2" t="inlineStr">
        <is>
          <t>Luigi Rubino</t>
        </is>
      </c>
      <c r="C328" s="2" t="inlineStr">
        <is>
          <t>kept</t>
        </is>
      </c>
      <c r="D328" s="2" t="n">
        <v>1</v>
      </c>
    </row>
    <row r="329">
      <c r="A329" s="2" t="inlineStr">
        <is>
          <t>Piano Cover-Peter Bence</t>
        </is>
      </c>
      <c r="B329" s="2" t="inlineStr">
        <is>
          <t>Luis Fonsi</t>
        </is>
      </c>
      <c r="C329" s="2" t="inlineStr">
        <is>
          <t>composer from score credits</t>
        </is>
      </c>
      <c r="D329" s="2" t="n">
        <v>1</v>
      </c>
    </row>
    <row r="330">
      <c r="A330" s="2" t="inlineStr">
        <is>
          <t>Lukas Jackson</t>
        </is>
      </c>
      <c r="B330" s="2" t="inlineStr">
        <is>
          <t>Lukas Jackson</t>
        </is>
      </c>
      <c r="C330" s="2" t="inlineStr">
        <is>
          <t>kept</t>
        </is>
      </c>
      <c r="D330" s="2" t="n">
        <v>1</v>
      </c>
    </row>
    <row r="331">
      <c r="A331" s="2" t="inlineStr">
        <is>
          <t>Luuk van Zon</t>
        </is>
      </c>
      <c r="B331" s="2" t="inlineStr">
        <is>
          <t>Luuk van Zon</t>
        </is>
      </c>
      <c r="C331" s="2" t="inlineStr">
        <is>
          <t>kept</t>
        </is>
      </c>
      <c r="D331" s="2" t="n">
        <v>1</v>
      </c>
    </row>
    <row r="332">
      <c r="A332" s="2" t="inlineStr">
        <is>
          <t>Mae Davis</t>
        </is>
      </c>
      <c r="B332" s="2" t="inlineStr">
        <is>
          <t>Mae Davis</t>
        </is>
      </c>
      <c r="C332" s="2" t="inlineStr">
        <is>
          <t>kept</t>
        </is>
      </c>
      <c r="D332" s="2" t="n">
        <v>1</v>
      </c>
    </row>
    <row r="333">
      <c r="A333" s="2" t="inlineStr">
        <is>
          <t>Magnus Pålsson</t>
        </is>
      </c>
      <c r="B333" s="2" t="inlineStr">
        <is>
          <t>Magnus Pålsson</t>
        </is>
      </c>
      <c r="C333" s="2" t="inlineStr">
        <is>
          <t>kept</t>
        </is>
      </c>
      <c r="D333" s="2" t="n">
        <v>1</v>
      </c>
    </row>
    <row r="334">
      <c r="A334" s="2" t="inlineStr">
        <is>
          <t>Mark of Two</t>
        </is>
      </c>
      <c r="B334" s="2" t="inlineStr">
        <is>
          <t>Mahito Yokota</t>
        </is>
      </c>
      <c r="C334" s="2" t="inlineStr">
        <is>
          <t>composer from score credits</t>
        </is>
      </c>
      <c r="D334" s="2" t="n">
        <v>1</v>
      </c>
    </row>
    <row r="335">
      <c r="A335" s="2" t="inlineStr">
        <is>
          <t>P-Switch Break</t>
        </is>
      </c>
      <c r="B335" s="2" t="inlineStr">
        <is>
          <t>Mahito Yokota</t>
        </is>
      </c>
      <c r="C335" s="2" t="inlineStr">
        <is>
          <t>composer from score credits</t>
        </is>
      </c>
      <c r="D335" s="2" t="n">
        <v>1</v>
      </c>
    </row>
    <row r="336">
      <c r="A336" s="2" t="inlineStr">
        <is>
          <t>Maksym Giza</t>
        </is>
      </c>
      <c r="B336" s="2" t="inlineStr">
        <is>
          <t>Maksym Giza</t>
        </is>
      </c>
      <c r="C336" s="2" t="inlineStr">
        <is>
          <t>kept</t>
        </is>
      </c>
      <c r="D336" s="2" t="n">
        <v>1</v>
      </c>
    </row>
    <row r="337">
      <c r="A337" s="2" t="inlineStr">
        <is>
          <t>Mamie E</t>
        </is>
      </c>
      <c r="B337" s="2" t="inlineStr">
        <is>
          <t>Mamie E. Williams</t>
        </is>
      </c>
      <c r="C337" s="2" t="inlineStr">
        <is>
          <t>normalized</t>
        </is>
      </c>
      <c r="D337" s="2" t="n">
        <v>1</v>
      </c>
    </row>
    <row r="338">
      <c r="A338" s="2" t="inlineStr">
        <is>
          <t>Marc Sabatella</t>
        </is>
      </c>
      <c r="B338" s="2" t="inlineStr">
        <is>
          <t>Marc Sabatella</t>
        </is>
      </c>
      <c r="C338" s="2" t="inlineStr">
        <is>
          <t>kept</t>
        </is>
      </c>
      <c r="D338" s="2" t="n">
        <v>1</v>
      </c>
    </row>
    <row r="339">
      <c r="A339" s="2" t="inlineStr">
        <is>
          <t>Markus Salzer</t>
        </is>
      </c>
      <c r="B339" s="2" t="inlineStr">
        <is>
          <t>Markus Salzer</t>
        </is>
      </c>
      <c r="C339" s="2" t="inlineStr">
        <is>
          <t>kept</t>
        </is>
      </c>
      <c r="D339" s="2" t="n">
        <v>1</v>
      </c>
    </row>
    <row r="340">
      <c r="A340" s="2" t="inlineStr">
        <is>
          <t>Marshall M. Bartholomew</t>
        </is>
      </c>
      <c r="B340" s="2" t="inlineStr">
        <is>
          <t>Marshall M. Bartholomew</t>
        </is>
      </c>
      <c r="C340" s="2" t="inlineStr">
        <is>
          <t>kept</t>
        </is>
      </c>
      <c r="D340" s="2" t="n">
        <v>1</v>
      </c>
    </row>
    <row r="341">
      <c r="A341" s="2" t="inlineStr">
        <is>
          <t>Marshmello (ft. Bastille)</t>
        </is>
      </c>
      <c r="B341" s="2" t="inlineStr">
        <is>
          <t>Marshmello</t>
        </is>
      </c>
      <c r="C341" s="2" t="inlineStr">
        <is>
          <t>normalized</t>
        </is>
      </c>
      <c r="D341" s="2" t="n">
        <v>1</v>
      </c>
    </row>
    <row r="342">
      <c r="A342" s="2" t="inlineStr">
        <is>
          <t>Marti Yoder</t>
        </is>
      </c>
      <c r="B342" s="2" t="inlineStr">
        <is>
          <t>Marti Yoder</t>
        </is>
      </c>
      <c r="C342" s="2" t="inlineStr">
        <is>
          <t>kept</t>
        </is>
      </c>
      <c r="D342" s="2" t="n">
        <v>1</v>
      </c>
    </row>
    <row r="343">
      <c r="A343" s="2" t="inlineStr">
        <is>
          <t>Martin Mosch</t>
        </is>
      </c>
      <c r="B343" s="2" t="inlineStr">
        <is>
          <t>Martin Mosch</t>
        </is>
      </c>
      <c r="C343" s="2" t="inlineStr">
        <is>
          <t>kept</t>
        </is>
      </c>
      <c r="D343" s="2" t="n">
        <v>1</v>
      </c>
    </row>
    <row r="344">
      <c r="A344" s="2" t="inlineStr">
        <is>
          <t>Masato Koike</t>
        </is>
      </c>
      <c r="B344" s="2" t="inlineStr">
        <is>
          <t>Masato Koike</t>
        </is>
      </c>
      <c r="C344" s="2" t="inlineStr">
        <is>
          <t>kept</t>
        </is>
      </c>
      <c r="D344" s="2" t="n">
        <v>1</v>
      </c>
    </row>
    <row r="345">
      <c r="A345" s="2" t="inlineStr">
        <is>
          <t>Lyrics &amp; Music by Matthew Bellamy</t>
        </is>
      </c>
      <c r="B345" s="2" t="inlineStr">
        <is>
          <t>Matthew Bellamy</t>
        </is>
      </c>
      <c r="C345" s="2" t="inlineStr">
        <is>
          <t>normalized</t>
        </is>
      </c>
      <c r="D345" s="2" t="n">
        <v>1</v>
      </c>
    </row>
    <row r="346">
      <c r="A346" s="2" t="inlineStr">
        <is>
          <t>Maurice J. Steinberg</t>
        </is>
      </c>
      <c r="B346" s="2" t="inlineStr">
        <is>
          <t>Maurice J. Steinberg</t>
        </is>
      </c>
      <c r="C346" s="2" t="inlineStr">
        <is>
          <t>kept</t>
        </is>
      </c>
      <c r="D346" s="2" t="n">
        <v>1</v>
      </c>
    </row>
    <row r="347">
      <c r="A347" s="2" t="inlineStr">
        <is>
          <t>Max Hoffmann</t>
        </is>
      </c>
      <c r="B347" s="2" t="inlineStr">
        <is>
          <t>Max Hoffmann</t>
        </is>
      </c>
      <c r="C347" s="2" t="inlineStr">
        <is>
          <t>kept</t>
        </is>
      </c>
      <c r="D347" s="2" t="n">
        <v>1</v>
      </c>
    </row>
    <row r="348">
      <c r="A348" s="2" t="inlineStr">
        <is>
          <t>Max Kortlander</t>
        </is>
      </c>
      <c r="B348" s="2" t="inlineStr">
        <is>
          <t>Max Kortlander</t>
        </is>
      </c>
      <c r="C348" s="2" t="inlineStr">
        <is>
          <t>kept</t>
        </is>
      </c>
      <c r="D348" s="2" t="n">
        <v>1</v>
      </c>
    </row>
    <row r="349">
      <c r="A349" s="2" t="inlineStr">
        <is>
          <t>May Aufderheide</t>
        </is>
      </c>
      <c r="B349" s="2" t="inlineStr">
        <is>
          <t>May Aufderheide</t>
        </is>
      </c>
      <c r="C349" s="2" t="inlineStr">
        <is>
          <t>kept</t>
        </is>
      </c>
      <c r="D349" s="2" t="n">
        <v>2</v>
      </c>
    </row>
    <row r="350">
      <c r="A350" s="2" t="inlineStr">
        <is>
          <t>MD Steele</t>
        </is>
      </c>
      <c r="B350" s="2" t="inlineStr">
        <is>
          <t>MD Steele</t>
        </is>
      </c>
      <c r="C350" s="2" t="inlineStr">
        <is>
          <t>kept</t>
        </is>
      </c>
      <c r="D350" s="2" t="n">
        <v>1</v>
      </c>
    </row>
    <row r="351">
      <c r="A351" s="2" t="inlineStr">
        <is>
          <t>Micha</t>
        </is>
      </c>
      <c r="B351" s="2" t="inlineStr">
        <is>
          <t>Micha</t>
        </is>
      </c>
      <c r="C351" s="2" t="inlineStr">
        <is>
          <t>kept</t>
        </is>
      </c>
      <c r="D351" s="2" t="n">
        <v>1</v>
      </c>
    </row>
    <row r="352">
      <c r="A352" s="2" t="inlineStr">
        <is>
          <t>Michael Garson</t>
        </is>
      </c>
      <c r="B352" s="2" t="inlineStr">
        <is>
          <t>Michael Garson</t>
        </is>
      </c>
      <c r="C352" s="2" t="inlineStr">
        <is>
          <t>kept</t>
        </is>
      </c>
      <c r="D352" s="2" t="n">
        <v>1</v>
      </c>
    </row>
    <row r="353">
      <c r="A353" s="2" t="inlineStr">
        <is>
          <t>KNO</t>
        </is>
      </c>
      <c r="B353" s="2" t="inlineStr">
        <is>
          <t>Michael Giacchino</t>
        </is>
      </c>
      <c r="C353" s="2" t="inlineStr">
        <is>
          <t>composer from score credits</t>
        </is>
      </c>
      <c r="D353" s="2" t="n">
        <v>1</v>
      </c>
    </row>
    <row r="354">
      <c r="A354" s="2" t="inlineStr">
        <is>
          <t>Michael Price &amp; David Arnold</t>
        </is>
      </c>
      <c r="B354" s="2" t="inlineStr">
        <is>
          <t>Michael Price &amp; David Arnold</t>
        </is>
      </c>
      <c r="C354" s="2" t="inlineStr">
        <is>
          <t>kept</t>
        </is>
      </c>
      <c r="D354" s="2" t="n">
        <v>1</v>
      </c>
    </row>
    <row r="355">
      <c r="A355" s="2" t="inlineStr">
        <is>
          <t>Nozakai</t>
        </is>
      </c>
      <c r="B355" s="2" t="inlineStr">
        <is>
          <t>Mili</t>
        </is>
      </c>
      <c r="C355" s="2" t="inlineStr">
        <is>
          <t>composer from score credits</t>
        </is>
      </c>
      <c r="D355" s="2" t="n">
        <v>1</v>
      </c>
    </row>
    <row r="356">
      <c r="A356" s="2" t="inlineStr">
        <is>
          <t>Mily Balakirev</t>
        </is>
      </c>
      <c r="B356" s="2" t="inlineStr">
        <is>
          <t>Mily Balakirev</t>
        </is>
      </c>
      <c r="C356" s="2" t="inlineStr">
        <is>
          <t>kept</t>
        </is>
      </c>
      <c r="D356" s="2" t="n">
        <v>2</v>
      </c>
    </row>
    <row r="357">
      <c r="A357" s="2" t="inlineStr">
        <is>
          <t>Molly Jaynes</t>
        </is>
      </c>
      <c r="B357" s="2" t="inlineStr">
        <is>
          <t>Molly Jaynes</t>
        </is>
      </c>
      <c r="C357" s="2" t="inlineStr">
        <is>
          <t>kept</t>
        </is>
      </c>
      <c r="D357" s="2" t="n">
        <v>2</v>
      </c>
    </row>
    <row r="358">
      <c r="A358" s="2" t="inlineStr">
        <is>
          <t>Monsoor</t>
        </is>
      </c>
      <c r="B358" s="2" t="inlineStr">
        <is>
          <t>Monsoor</t>
        </is>
      </c>
      <c r="C358" s="2" t="inlineStr">
        <is>
          <t>kept</t>
        </is>
      </c>
      <c r="D358" s="2" t="n">
        <v>1</v>
      </c>
    </row>
    <row r="359">
      <c r="A359" s="2" t="inlineStr">
        <is>
          <t>N. Bierbaum</t>
        </is>
      </c>
      <c r="B359" s="2" t="inlineStr">
        <is>
          <t>N. Bierbaum</t>
        </is>
      </c>
      <c r="C359" s="2" t="inlineStr">
        <is>
          <t>kept</t>
        </is>
      </c>
      <c r="D359" s="2" t="n">
        <v>1</v>
      </c>
    </row>
    <row r="360">
      <c r="A360" s="2" t="inlineStr">
        <is>
          <t>Nakanishi Ryosuke</t>
        </is>
      </c>
      <c r="B360" s="2" t="inlineStr">
        <is>
          <t>Nakanishi Ryosuke</t>
        </is>
      </c>
      <c r="C360" s="2" t="inlineStr">
        <is>
          <t>kept</t>
        </is>
      </c>
      <c r="D360" s="2" t="n">
        <v>1</v>
      </c>
    </row>
    <row r="361">
      <c r="A361" s="2" t="inlineStr">
        <is>
          <t>Nat D. Ayer</t>
        </is>
      </c>
      <c r="B361" s="2" t="inlineStr">
        <is>
          <t>Nat D. Ayer</t>
        </is>
      </c>
      <c r="C361" s="2" t="inlineStr">
        <is>
          <t>kept</t>
        </is>
      </c>
      <c r="D361" s="2" t="n">
        <v>1</v>
      </c>
    </row>
    <row r="362">
      <c r="A362" s="2" t="inlineStr">
        <is>
          <t>Nathan Chapman</t>
        </is>
      </c>
      <c r="B362" s="2" t="inlineStr">
        <is>
          <t>Nathan Chapman</t>
        </is>
      </c>
      <c r="C362" s="2" t="inlineStr">
        <is>
          <t>kept</t>
        </is>
      </c>
      <c r="D362" s="2" t="n">
        <v>1</v>
      </c>
    </row>
    <row r="363">
      <c r="A363" s="2" t="inlineStr">
        <is>
          <t>Dupa Nelu Ionescu</t>
        </is>
      </c>
      <c r="B363" s="2" t="inlineStr">
        <is>
          <t>Nelu Ionescu</t>
        </is>
      </c>
      <c r="C363" s="2" t="inlineStr">
        <is>
          <t>normalized</t>
        </is>
      </c>
      <c r="D363" s="2" t="n">
        <v>1</v>
      </c>
    </row>
    <row r="364">
      <c r="A364" s="2" t="inlineStr">
        <is>
          <t>Nick Carnelian</t>
        </is>
      </c>
      <c r="B364" s="2" t="inlineStr">
        <is>
          <t>Nick Carnelian</t>
        </is>
      </c>
      <c r="C364" s="2" t="inlineStr">
        <is>
          <t>kept</t>
        </is>
      </c>
      <c r="D364" s="2" t="n">
        <v>1</v>
      </c>
    </row>
    <row r="365">
      <c r="A365" s="2" t="inlineStr">
        <is>
          <t>Nicola Clavel-Ouellette</t>
        </is>
      </c>
      <c r="B365" s="2" t="inlineStr">
        <is>
          <t>Nicola Clavel-Ouellette</t>
        </is>
      </c>
      <c r="C365" s="2" t="inlineStr">
        <is>
          <t>kept</t>
        </is>
      </c>
      <c r="D365" s="2" t="n">
        <v>1</v>
      </c>
    </row>
    <row r="366">
      <c r="A366" s="2" t="inlineStr">
        <is>
          <t>Nicolas Mason</t>
        </is>
      </c>
      <c r="B366" s="2" t="inlineStr">
        <is>
          <t>Nicolas Mason</t>
        </is>
      </c>
      <c r="C366" s="2" t="inlineStr">
        <is>
          <t>kept</t>
        </is>
      </c>
      <c r="D366" s="2" t="n">
        <v>2</v>
      </c>
    </row>
    <row r="367">
      <c r="A367" s="2" t="inlineStr">
        <is>
          <t>Nikolai Rimsky-Korsakov</t>
        </is>
      </c>
      <c r="B367" s="2" t="inlineStr">
        <is>
          <t>Nikolai Rimsky-Korsakov</t>
        </is>
      </c>
      <c r="C367" s="2" t="inlineStr">
        <is>
          <t>kept</t>
        </is>
      </c>
      <c r="D367" s="2" t="n">
        <v>1</v>
      </c>
    </row>
    <row r="368">
      <c r="A368" s="2" t="inlineStr">
        <is>
          <t>Rimsky-Korsakov</t>
        </is>
      </c>
      <c r="B368" s="2" t="inlineStr">
        <is>
          <t>Nikolai Rimsky-Korsakov</t>
        </is>
      </c>
      <c r="C368" s="2" t="inlineStr">
        <is>
          <t>normalized</t>
        </is>
      </c>
      <c r="D368" s="2" t="n">
        <v>1</v>
      </c>
    </row>
    <row r="369">
      <c r="A369" s="2" t="inlineStr">
        <is>
          <t>Nirvana</t>
        </is>
      </c>
      <c r="B369" s="2" t="inlineStr">
        <is>
          <t>Nirvana</t>
        </is>
      </c>
      <c r="C369" s="2" t="inlineStr">
        <is>
          <t>kept</t>
        </is>
      </c>
      <c r="D369" s="2" t="n">
        <v>1</v>
      </c>
    </row>
    <row r="370">
      <c r="A370" s="2" t="inlineStr">
        <is>
          <t>NIZEYIMANA Parfait</t>
        </is>
      </c>
      <c r="B370" s="2" t="inlineStr">
        <is>
          <t>NIZEYIMANA Parfait</t>
        </is>
      </c>
      <c r="C370" s="2" t="inlineStr">
        <is>
          <t>kept</t>
        </is>
      </c>
      <c r="D370" s="2" t="n">
        <v>1</v>
      </c>
    </row>
    <row r="371">
      <c r="A371" s="2" t="inlineStr">
        <is>
          <t>Noah T.</t>
        </is>
      </c>
      <c r="B371" s="2" t="inlineStr">
        <is>
          <t>Noah T.</t>
        </is>
      </c>
      <c r="C371" s="2" t="inlineStr">
        <is>
          <t>kept</t>
        </is>
      </c>
      <c r="D371" s="2" t="n">
        <v>1</v>
      </c>
    </row>
    <row r="372">
      <c r="A372" s="2" t="inlineStr">
        <is>
          <t>Ok chang</t>
        </is>
      </c>
      <c r="B372" s="2" t="inlineStr">
        <is>
          <t>Ok chang</t>
        </is>
      </c>
      <c r="C372" s="2" t="inlineStr">
        <is>
          <t>kept</t>
        </is>
      </c>
      <c r="D372" s="2" t="n">
        <v>1</v>
      </c>
    </row>
    <row r="373">
      <c r="A373" s="2" t="inlineStr">
        <is>
          <t>Oka Adimchi Sylvester</t>
        </is>
      </c>
      <c r="B373" s="2" t="inlineStr">
        <is>
          <t>Oka Adimchi Sylvester</t>
        </is>
      </c>
      <c r="C373" s="2" t="inlineStr">
        <is>
          <t>kept</t>
        </is>
      </c>
      <c r="D373" s="2" t="n">
        <v>1</v>
      </c>
    </row>
    <row r="374">
      <c r="A374" s="2" t="inlineStr">
        <is>
          <t>Oliver Guy Magee.</t>
        </is>
      </c>
      <c r="B374" s="2" t="inlineStr">
        <is>
          <t>Oliver Guy Magee</t>
        </is>
      </c>
      <c r="C374" s="2" t="inlineStr">
        <is>
          <t>normalized</t>
        </is>
      </c>
      <c r="D374" s="2" t="n">
        <v>1</v>
      </c>
    </row>
    <row r="375">
      <c r="A375" s="2" t="inlineStr">
        <is>
          <t>Olivia Rodrigo</t>
        </is>
      </c>
      <c r="B375" s="2" t="inlineStr">
        <is>
          <t>Olivia Rodrigo</t>
        </is>
      </c>
      <c r="C375" s="2" t="inlineStr">
        <is>
          <t>kept</t>
        </is>
      </c>
      <c r="D375" s="2" t="n">
        <v>1</v>
      </c>
    </row>
    <row r="376">
      <c r="A376" s="2" t="inlineStr">
        <is>
          <t>(empty)</t>
        </is>
      </c>
      <c r="B376" s="2" t="inlineStr">
        <is>
          <t>Olivier Messiaen</t>
        </is>
      </c>
      <c r="C376" s="2" t="inlineStr">
        <is>
          <t>filled (musicxml credits / score title)</t>
        </is>
      </c>
      <c r="D376" s="2" t="n">
        <v>1</v>
      </c>
    </row>
    <row r="377">
      <c r="A377" s="2" t="inlineStr">
        <is>
          <t>Olivier Pouech</t>
        </is>
      </c>
      <c r="B377" s="2" t="inlineStr">
        <is>
          <t>Olivier Pouech</t>
        </is>
      </c>
      <c r="C377" s="2" t="inlineStr">
        <is>
          <t>kept</t>
        </is>
      </c>
      <c r="D377" s="2" t="n">
        <v>1</v>
      </c>
    </row>
    <row r="378">
      <c r="A378" s="2" t="inlineStr">
        <is>
          <t>Ottorino Respighi</t>
        </is>
      </c>
      <c r="B378" s="2" t="inlineStr">
        <is>
          <t>Ottorino Respighi</t>
        </is>
      </c>
      <c r="C378" s="2" t="inlineStr">
        <is>
          <t>kept</t>
        </is>
      </c>
      <c r="D378" s="2" t="n">
        <v>1</v>
      </c>
    </row>
    <row r="379">
      <c r="A379" s="2" t="inlineStr">
        <is>
          <t>Pat Schweenis</t>
        </is>
      </c>
      <c r="B379" s="2" t="inlineStr">
        <is>
          <t>Pat Schweenis</t>
        </is>
      </c>
      <c r="C379" s="2" t="inlineStr">
        <is>
          <t>kept</t>
        </is>
      </c>
      <c r="D379" s="2" t="n">
        <v>1</v>
      </c>
    </row>
    <row r="380">
      <c r="A380" s="2" t="inlineStr">
        <is>
          <t>Patrik Pietschmann</t>
        </is>
      </c>
      <c r="B380" s="2" t="inlineStr">
        <is>
          <t>Patrik Pietschmann</t>
        </is>
      </c>
      <c r="C380" s="2" t="inlineStr">
        <is>
          <t>kept</t>
        </is>
      </c>
      <c r="D380" s="2" t="n">
        <v>1</v>
      </c>
    </row>
    <row r="381">
      <c r="A381" s="2" t="inlineStr">
        <is>
          <t>PC Chin</t>
        </is>
      </c>
      <c r="B381" s="2" t="inlineStr">
        <is>
          <t>PC Chin</t>
        </is>
      </c>
      <c r="C381" s="2" t="inlineStr">
        <is>
          <t>kept</t>
        </is>
      </c>
      <c r="D381" s="2" t="n">
        <v>1</v>
      </c>
    </row>
    <row r="382">
      <c r="A382" s="2" t="inlineStr">
        <is>
          <t>PETE WENDLING and MAX KORTLANDER</t>
        </is>
      </c>
      <c r="B382" s="2" t="inlineStr">
        <is>
          <t>Pete Wendling &amp; Max Kortlander</t>
        </is>
      </c>
      <c r="C382" s="2" t="inlineStr">
        <is>
          <t>normalized</t>
        </is>
      </c>
      <c r="D382" s="2" t="n">
        <v>3</v>
      </c>
    </row>
    <row r="383">
      <c r="A383" s="2" t="inlineStr">
        <is>
          <t>Peter Broderick</t>
        </is>
      </c>
      <c r="B383" s="2" t="inlineStr">
        <is>
          <t>Peter Broderick</t>
        </is>
      </c>
      <c r="C383" s="2" t="inlineStr">
        <is>
          <t>kept</t>
        </is>
      </c>
      <c r="D383" s="2" t="n">
        <v>1</v>
      </c>
    </row>
    <row r="384">
      <c r="A384" s="2" t="inlineStr">
        <is>
          <t>Peter M. Heaton</t>
        </is>
      </c>
      <c r="B384" s="2" t="inlineStr">
        <is>
          <t>Peter M. Heaton</t>
        </is>
      </c>
      <c r="C384" s="2" t="inlineStr">
        <is>
          <t>kept</t>
        </is>
      </c>
      <c r="D384" s="2" t="n">
        <v>1</v>
      </c>
    </row>
    <row r="385">
      <c r="A385" s="2" t="inlineStr">
        <is>
          <t>Pfeil</t>
        </is>
      </c>
      <c r="B385" s="2" t="inlineStr">
        <is>
          <t>Pfeil</t>
        </is>
      </c>
      <c r="C385" s="2" t="inlineStr">
        <is>
          <t>kept</t>
        </is>
      </c>
      <c r="D385" s="2" t="n">
        <v>2</v>
      </c>
    </row>
    <row r="386">
      <c r="A386" s="2" t="inlineStr">
        <is>
          <t>Phil Ohman</t>
        </is>
      </c>
      <c r="B386" s="2" t="inlineStr">
        <is>
          <t>Phil Ohman</t>
        </is>
      </c>
      <c r="C386" s="2" t="inlineStr">
        <is>
          <t>kept</t>
        </is>
      </c>
      <c r="D386" s="2" t="n">
        <v>2</v>
      </c>
    </row>
    <row r="387">
      <c r="A387" s="2" t="inlineStr">
        <is>
          <t>Philippe Stutz</t>
        </is>
      </c>
      <c r="B387" s="2" t="inlineStr">
        <is>
          <t>Philippe Stutz</t>
        </is>
      </c>
      <c r="C387" s="2" t="inlineStr">
        <is>
          <t>kept</t>
        </is>
      </c>
      <c r="D387" s="2" t="n">
        <v>1</v>
      </c>
    </row>
    <row r="388">
      <c r="A388" s="2" t="inlineStr">
        <is>
          <t>Pierre De Geyter</t>
        </is>
      </c>
      <c r="B388" s="2" t="inlineStr">
        <is>
          <t>Pierre De Geyter</t>
        </is>
      </c>
      <c r="C388" s="2" t="inlineStr">
        <is>
          <t>kept</t>
        </is>
      </c>
      <c r="D388" s="2" t="n">
        <v>1</v>
      </c>
    </row>
    <row r="389">
      <c r="A389" s="2" t="inlineStr">
        <is>
          <t>Praveen Sundar</t>
        </is>
      </c>
      <c r="B389" s="2" t="inlineStr">
        <is>
          <t>Praveen Sundar</t>
        </is>
      </c>
      <c r="C389" s="2" t="inlineStr">
        <is>
          <t>kept</t>
        </is>
      </c>
      <c r="D389" s="2" t="n">
        <v>1</v>
      </c>
    </row>
    <row r="390">
      <c r="A390" s="2" t="inlineStr">
        <is>
          <t>Peter Tchaikovsky</t>
        </is>
      </c>
      <c r="B390" s="2" t="inlineStr">
        <is>
          <t>Pyotr Ilyich Tchaikovsky</t>
        </is>
      </c>
      <c r="C390" s="2" t="inlineStr">
        <is>
          <t>normalized</t>
        </is>
      </c>
      <c r="D390" s="2" t="n">
        <v>1</v>
      </c>
    </row>
    <row r="391">
      <c r="A391" s="2" t="inlineStr">
        <is>
          <t>Pyotr Ilyich Tchaikovsky</t>
        </is>
      </c>
      <c r="B391" s="2" t="inlineStr">
        <is>
          <t>Pyotr Ilyich Tchaikovsky</t>
        </is>
      </c>
      <c r="C391" s="2" t="inlineStr">
        <is>
          <t>kept</t>
        </is>
      </c>
      <c r="D391" s="2" t="n">
        <v>2</v>
      </c>
    </row>
    <row r="392">
      <c r="A392" s="2" t="inlineStr">
        <is>
          <t>Pyotr Il’yich Tchaikovsky</t>
        </is>
      </c>
      <c r="B392" s="2" t="inlineStr">
        <is>
          <t>Pyotr Ilyich Tchaikovsky</t>
        </is>
      </c>
      <c r="C392" s="2" t="inlineStr">
        <is>
          <t>normalized</t>
        </is>
      </c>
      <c r="D392" s="2" t="n">
        <v>1</v>
      </c>
    </row>
    <row r="393">
      <c r="A393" s="2" t="inlineStr">
        <is>
          <t>R. W. Conner.</t>
        </is>
      </c>
      <c r="B393" s="2" t="inlineStr">
        <is>
          <t>R. W. Conner</t>
        </is>
      </c>
      <c r="C393" s="2" t="inlineStr">
        <is>
          <t>normalized</t>
        </is>
      </c>
      <c r="D393" s="2" t="n">
        <v>1</v>
      </c>
    </row>
    <row r="394">
      <c r="A394" s="2" t="inlineStr">
        <is>
          <t>Original von: Musik und Text: Ralph Maria Siegel Jacques Larue &amp; George Auric</t>
        </is>
      </c>
      <c r="B394" s="2" t="inlineStr">
        <is>
          <t>Ralph Maria Siegel, Jacques Larue &amp; Georges Auric</t>
        </is>
      </c>
      <c r="C394" s="2" t="inlineStr">
        <is>
          <t>normalized</t>
        </is>
      </c>
      <c r="D394" s="2" t="n">
        <v>1</v>
      </c>
    </row>
    <row r="395">
      <c r="A395" s="2" t="inlineStr">
        <is>
          <t>Ramin Djawadi</t>
        </is>
      </c>
      <c r="B395" s="2" t="inlineStr">
        <is>
          <t>Ramin Djawadi</t>
        </is>
      </c>
      <c r="C395" s="2" t="inlineStr">
        <is>
          <t>kept</t>
        </is>
      </c>
      <c r="D395" s="2" t="n">
        <v>2</v>
      </c>
    </row>
    <row r="396">
      <c r="A396" s="2" t="inlineStr">
        <is>
          <t>Ramin Djawadi Piano arrangement by Nicolas Del Gallo Full playthrough and more at https://www.youtube.com/c/NDGmusic If you want to donate, please check out my Patreon ☺ https://www.patreon.com/ndg</t>
        </is>
      </c>
      <c r="B396" s="2" t="inlineStr">
        <is>
          <t>Ramin Djawadi</t>
        </is>
      </c>
      <c r="C396" s="2" t="inlineStr">
        <is>
          <t>normalized</t>
        </is>
      </c>
      <c r="D396" s="2" t="n">
        <v>1</v>
      </c>
    </row>
    <row r="397">
      <c r="A397" s="2" t="inlineStr">
        <is>
          <t>Rammstein</t>
        </is>
      </c>
      <c r="B397" s="2" t="inlineStr">
        <is>
          <t>Rammstein</t>
        </is>
      </c>
      <c r="C397" s="2" t="inlineStr">
        <is>
          <t>kept</t>
        </is>
      </c>
      <c r="D397" s="2" t="n">
        <v>1</v>
      </c>
    </row>
    <row r="398">
      <c r="A398" s="2" t="inlineStr">
        <is>
          <t>Random Number Generator</t>
        </is>
      </c>
      <c r="B398" s="2" t="inlineStr">
        <is>
          <t>Random Number Generator</t>
        </is>
      </c>
      <c r="C398" s="2" t="inlineStr">
        <is>
          <t>kept</t>
        </is>
      </c>
      <c r="D398" s="2" t="n">
        <v>1</v>
      </c>
    </row>
    <row r="399">
      <c r="A399" s="2" t="inlineStr">
        <is>
          <t>Randy Newman</t>
        </is>
      </c>
      <c r="B399" s="2" t="inlineStr">
        <is>
          <t>Randy Newman</t>
        </is>
      </c>
      <c r="C399" s="2" t="inlineStr">
        <is>
          <t>kept</t>
        </is>
      </c>
      <c r="D399" s="2" t="n">
        <v>1</v>
      </c>
    </row>
    <row r="400">
      <c r="A400" s="2" t="inlineStr">
        <is>
          <t>Raphael Goldstein</t>
        </is>
      </c>
      <c r="B400" s="2" t="inlineStr">
        <is>
          <t>Raphael Goldstein</t>
        </is>
      </c>
      <c r="C400" s="2" t="inlineStr">
        <is>
          <t>kept</t>
        </is>
      </c>
      <c r="D400" s="2" t="n">
        <v>1</v>
      </c>
    </row>
    <row r="401">
      <c r="A401" s="2" t="inlineStr">
        <is>
          <t>Rich Brian</t>
        </is>
      </c>
      <c r="B401" s="2" t="inlineStr">
        <is>
          <t>Rich Brian</t>
        </is>
      </c>
      <c r="C401" s="2" t="inlineStr">
        <is>
          <t>kept</t>
        </is>
      </c>
      <c r="D401" s="2" t="n">
        <v>1</v>
      </c>
    </row>
    <row r="402">
      <c r="A402" s="2" t="inlineStr">
        <is>
          <t>Richard Goosman.</t>
        </is>
      </c>
      <c r="B402" s="2" t="inlineStr">
        <is>
          <t>Richard Goosman</t>
        </is>
      </c>
      <c r="C402" s="2" t="inlineStr">
        <is>
          <t>normalized</t>
        </is>
      </c>
      <c r="D402" s="2" t="n">
        <v>1</v>
      </c>
    </row>
    <row r="403">
      <c r="A403" s="2" t="inlineStr">
        <is>
          <t>Richard Stone</t>
        </is>
      </c>
      <c r="B403" s="2" t="inlineStr">
        <is>
          <t>Richard Stone</t>
        </is>
      </c>
      <c r="C403" s="2" t="inlineStr">
        <is>
          <t>kept</t>
        </is>
      </c>
      <c r="D403" s="2" t="n">
        <v>1</v>
      </c>
    </row>
    <row r="404">
      <c r="A404" s="2" t="inlineStr">
        <is>
          <t>Richard Wagner</t>
        </is>
      </c>
      <c r="B404" s="2" t="inlineStr">
        <is>
          <t>Richard Wagner</t>
        </is>
      </c>
      <c r="C404" s="2" t="inlineStr">
        <is>
          <t>kept</t>
        </is>
      </c>
      <c r="D404" s="2" t="n">
        <v>4</v>
      </c>
    </row>
    <row r="405">
      <c r="A405" s="2" t="inlineStr">
        <is>
          <t>Robo Ulbricht</t>
        </is>
      </c>
      <c r="B405" s="2" t="inlineStr">
        <is>
          <t>Robo Ulbricht</t>
        </is>
      </c>
      <c r="C405" s="2" t="inlineStr">
        <is>
          <t>kept</t>
        </is>
      </c>
      <c r="D405" s="2" t="n">
        <v>1</v>
      </c>
    </row>
    <row r="406">
      <c r="A406" s="2" t="inlineStr">
        <is>
          <t>Rodrigo Damasceno</t>
        </is>
      </c>
      <c r="B406" s="2" t="inlineStr">
        <is>
          <t>Rodrigo Damasceno</t>
        </is>
      </c>
      <c r="C406" s="2" t="inlineStr">
        <is>
          <t>kept</t>
        </is>
      </c>
      <c r="D406" s="2" t="n">
        <v>1</v>
      </c>
    </row>
    <row r="407">
      <c r="A407" s="2" t="inlineStr">
        <is>
          <t>Ross</t>
        </is>
      </c>
      <c r="B407" s="2" t="inlineStr">
        <is>
          <t>Ross</t>
        </is>
      </c>
      <c r="C407" s="2" t="inlineStr">
        <is>
          <t>kept</t>
        </is>
      </c>
      <c r="D407" s="2" t="n">
        <v>1</v>
      </c>
    </row>
    <row r="408">
      <c r="A408" s="2" t="inlineStr">
        <is>
          <t>Ross Halkett</t>
        </is>
      </c>
      <c r="B408" s="2" t="inlineStr">
        <is>
          <t>Ross Halkett</t>
        </is>
      </c>
      <c r="C408" s="2" t="inlineStr">
        <is>
          <t>kept</t>
        </is>
      </c>
      <c r="D408" s="2" t="n">
        <v>1</v>
      </c>
    </row>
    <row r="409">
      <c r="A409" s="2" t="inlineStr">
        <is>
          <t>Roy Bargy</t>
        </is>
      </c>
      <c r="B409" s="2" t="inlineStr">
        <is>
          <t>Roy Bargy</t>
        </is>
      </c>
      <c r="C409" s="2" t="inlineStr">
        <is>
          <t>kept</t>
        </is>
      </c>
      <c r="D409" s="2" t="n">
        <v>3</v>
      </c>
    </row>
    <row r="410">
      <c r="A410" s="2" t="inlineStr">
        <is>
          <t>Rube Bloom</t>
        </is>
      </c>
      <c r="B410" s="2" t="inlineStr">
        <is>
          <t>Rube Bloom</t>
        </is>
      </c>
      <c r="C410" s="2" t="inlineStr">
        <is>
          <t>kept</t>
        </is>
      </c>
      <c r="D410" s="2" t="n">
        <v>1</v>
      </c>
    </row>
    <row r="411">
      <c r="A411" s="2" t="inlineStr">
        <is>
          <t>Russell Franck</t>
        </is>
      </c>
      <c r="B411" s="2" t="inlineStr">
        <is>
          <t>Russell Franck</t>
        </is>
      </c>
      <c r="C411" s="2" t="inlineStr">
        <is>
          <t>kept</t>
        </is>
      </c>
      <c r="D411" s="2" t="n">
        <v>1</v>
      </c>
    </row>
    <row r="412">
      <c r="A412" s="2" t="inlineStr">
        <is>
          <t>Ryan Terry</t>
        </is>
      </c>
      <c r="B412" s="2" t="inlineStr">
        <is>
          <t>Ryan Terry</t>
        </is>
      </c>
      <c r="C412" s="2" t="inlineStr">
        <is>
          <t>kept</t>
        </is>
      </c>
      <c r="D412" s="2" t="n">
        <v>1</v>
      </c>
    </row>
    <row r="413">
      <c r="A413" s="2" t="inlineStr">
        <is>
          <t>Ryo Sakai</t>
        </is>
      </c>
      <c r="B413" s="2" t="inlineStr">
        <is>
          <t>Ryo Sakai</t>
        </is>
      </c>
      <c r="C413" s="2" t="inlineStr">
        <is>
          <t>kept</t>
        </is>
      </c>
      <c r="D413" s="2" t="n">
        <v>1</v>
      </c>
    </row>
    <row r="414">
      <c r="A414" s="2" t="inlineStr">
        <is>
          <t>S. Hermand</t>
        </is>
      </c>
      <c r="B414" s="2" t="inlineStr">
        <is>
          <t>S. Hermand</t>
        </is>
      </c>
      <c r="C414" s="2" t="inlineStr">
        <is>
          <t>kept</t>
        </is>
      </c>
      <c r="D414" s="2" t="n">
        <v>1</v>
      </c>
    </row>
    <row r="415">
      <c r="A415" s="2" t="inlineStr">
        <is>
          <t>S. M. Kudlo</t>
        </is>
      </c>
      <c r="B415" s="2" t="inlineStr">
        <is>
          <t>S. M. Kudlo</t>
        </is>
      </c>
      <c r="C415" s="2" t="inlineStr">
        <is>
          <t>kept</t>
        </is>
      </c>
      <c r="D415" s="2" t="n">
        <v>1</v>
      </c>
    </row>
    <row r="416">
      <c r="A416" s="2" t="inlineStr">
        <is>
          <t>Sam Hulick</t>
        </is>
      </c>
      <c r="B416" s="2" t="inlineStr">
        <is>
          <t>Sam Hulick</t>
        </is>
      </c>
      <c r="C416" s="2" t="inlineStr">
        <is>
          <t>kept</t>
        </is>
      </c>
      <c r="D416" s="2" t="n">
        <v>1</v>
      </c>
    </row>
    <row r="417">
      <c r="A417" s="2" t="inlineStr">
        <is>
          <t>Richards</t>
        </is>
      </c>
      <c r="B417" s="2" t="inlineStr">
        <is>
          <t>Sam Richards</t>
        </is>
      </c>
      <c r="C417" s="2" t="inlineStr">
        <is>
          <t>composer from score credits</t>
        </is>
      </c>
      <c r="D417" s="2" t="n">
        <v>1</v>
      </c>
    </row>
    <row r="418">
      <c r="A418" s="2" t="inlineStr">
        <is>
          <t>Scott Joplin</t>
        </is>
      </c>
      <c r="B418" s="2" t="inlineStr">
        <is>
          <t>Scott Joplin</t>
        </is>
      </c>
      <c r="C418" s="2" t="inlineStr">
        <is>
          <t>kept</t>
        </is>
      </c>
      <c r="D418" s="2" t="n">
        <v>21</v>
      </c>
    </row>
    <row r="419">
      <c r="A419" s="2" t="inlineStr">
        <is>
          <t>SCOTT JOPLIN and ARTHUR MARSHALL</t>
        </is>
      </c>
      <c r="B419" s="2" t="inlineStr">
        <is>
          <t>Scott Joplin &amp; Arthur Marshall</t>
        </is>
      </c>
      <c r="C419" s="2" t="inlineStr">
        <is>
          <t>normalized</t>
        </is>
      </c>
      <c r="D419" s="2" t="n">
        <v>1</v>
      </c>
    </row>
    <row r="420">
      <c r="A420" s="2" t="inlineStr">
        <is>
          <t>Scott Joplin and Scott Hayden</t>
        </is>
      </c>
      <c r="B420" s="2" t="inlineStr">
        <is>
          <t>Scott Joplin &amp; Scott Hayden</t>
        </is>
      </c>
      <c r="C420" s="2" t="inlineStr">
        <is>
          <t>normalized</t>
        </is>
      </c>
      <c r="D420" s="2" t="n">
        <v>1</v>
      </c>
    </row>
    <row r="421">
      <c r="A421" s="2" t="inlineStr">
        <is>
          <t>Scott Joplin Scott Hayden</t>
        </is>
      </c>
      <c r="B421" s="2" t="inlineStr">
        <is>
          <t>Scott Joplin &amp; Scott Hayden</t>
        </is>
      </c>
      <c r="C421" s="2" t="inlineStr">
        <is>
          <t>normalized</t>
        </is>
      </c>
      <c r="D421" s="2" t="n">
        <v>1</v>
      </c>
    </row>
    <row r="422">
      <c r="A422" s="2" t="inlineStr">
        <is>
          <t>Scotty M– Clure</t>
        </is>
      </c>
      <c r="B422" s="2" t="inlineStr">
        <is>
          <t>Scotty McClure</t>
        </is>
      </c>
      <c r="C422" s="2" t="inlineStr">
        <is>
          <t>normalized</t>
        </is>
      </c>
      <c r="D422" s="2" t="n">
        <v>1</v>
      </c>
    </row>
    <row r="423">
      <c r="A423" s="2" t="inlineStr">
        <is>
          <t>Sebastian Lutz</t>
        </is>
      </c>
      <c r="B423" s="2" t="inlineStr">
        <is>
          <t>Sebastian Lutz</t>
        </is>
      </c>
      <c r="C423" s="2" t="inlineStr">
        <is>
          <t>kept</t>
        </is>
      </c>
      <c r="D423" s="2" t="n">
        <v>1</v>
      </c>
    </row>
    <row r="424">
      <c r="A424" s="2" t="inlineStr">
        <is>
          <t>Sergei Bortkiewicz</t>
        </is>
      </c>
      <c r="B424" s="2" t="inlineStr">
        <is>
          <t>Sergei Bortkiewicz</t>
        </is>
      </c>
      <c r="C424" s="2" t="inlineStr">
        <is>
          <t>kept</t>
        </is>
      </c>
      <c r="D424" s="2" t="n">
        <v>1</v>
      </c>
    </row>
    <row r="425">
      <c r="A425" s="2" t="inlineStr">
        <is>
          <t>S.Liapounow, Op.6.No.1</t>
        </is>
      </c>
      <c r="B425" s="2" t="inlineStr">
        <is>
          <t>Sergei Lyapunov</t>
        </is>
      </c>
      <c r="C425" s="2" t="inlineStr">
        <is>
          <t>normalized</t>
        </is>
      </c>
      <c r="D425" s="2" t="n">
        <v>1</v>
      </c>
    </row>
    <row r="426">
      <c r="A426" s="2" t="inlineStr">
        <is>
          <t>(empty)</t>
        </is>
      </c>
      <c r="B426" s="2" t="inlineStr">
        <is>
          <t>Sergei Rachmaninoff</t>
        </is>
      </c>
      <c r="C426" s="2" t="inlineStr">
        <is>
          <t>filled (musicxml credits / score title)</t>
        </is>
      </c>
      <c r="D426" s="2" t="n">
        <v>10</v>
      </c>
    </row>
    <row r="427">
      <c r="A427" s="2" t="inlineStr">
        <is>
          <t>Sergio Ortega (1973)</t>
        </is>
      </c>
      <c r="B427" s="2" t="inlineStr">
        <is>
          <t>Sergio Ortega</t>
        </is>
      </c>
      <c r="C427" s="2" t="inlineStr">
        <is>
          <t>normalized</t>
        </is>
      </c>
      <c r="D427" s="2" t="n">
        <v>1</v>
      </c>
    </row>
    <row r="428">
      <c r="A428" s="2" t="inlineStr">
        <is>
          <t>Serikawa</t>
        </is>
      </c>
      <c r="B428" s="2" t="inlineStr">
        <is>
          <t>Serikawa</t>
        </is>
      </c>
      <c r="C428" s="2" t="inlineStr">
        <is>
          <t>kept</t>
        </is>
      </c>
      <c r="D428" s="2" t="n">
        <v>1</v>
      </c>
    </row>
    <row r="429">
      <c r="A429" s="2" t="inlineStr">
        <is>
          <t>Seymour Smith</t>
        </is>
      </c>
      <c r="B429" s="2" t="inlineStr">
        <is>
          <t>Seymour Smith</t>
        </is>
      </c>
      <c r="C429" s="2" t="inlineStr">
        <is>
          <t>kept</t>
        </is>
      </c>
      <c r="D429" s="2" t="n">
        <v>1</v>
      </c>
    </row>
    <row r="430">
      <c r="A430" s="2" t="inlineStr">
        <is>
          <t>Shan Lee Rowe</t>
        </is>
      </c>
      <c r="B430" s="2" t="inlineStr">
        <is>
          <t>Shan Lee Rowe</t>
        </is>
      </c>
      <c r="C430" s="2" t="inlineStr">
        <is>
          <t>kept</t>
        </is>
      </c>
      <c r="D430" s="2" t="n">
        <v>1</v>
      </c>
    </row>
    <row r="431">
      <c r="A431" s="2" t="inlineStr">
        <is>
          <t>Shim Hyeon-jeong, Lee Ji-soo and Choi Seung-hyun</t>
        </is>
      </c>
      <c r="B431" s="2" t="inlineStr">
        <is>
          <t>Shim Hyeon-jeong, Lee Ji-soo &amp; Choi Seung-hyun</t>
        </is>
      </c>
      <c r="C431" s="2" t="inlineStr">
        <is>
          <t>normalized</t>
        </is>
      </c>
      <c r="D431" s="2" t="n">
        <v>1</v>
      </c>
    </row>
    <row r="432">
      <c r="A432" s="2" t="inlineStr">
        <is>
          <t>Shirokoi</t>
        </is>
      </c>
      <c r="B432" s="2" t="inlineStr">
        <is>
          <t>Shirokoi</t>
        </is>
      </c>
      <c r="C432" s="2" t="inlineStr">
        <is>
          <t>kept</t>
        </is>
      </c>
      <c r="D432" s="2" t="n">
        <v>1</v>
      </c>
    </row>
    <row r="433">
      <c r="A433" s="2" t="inlineStr">
        <is>
          <t>Shirō Hamaguchi Kōhei Tanaka</t>
        </is>
      </c>
      <c r="B433" s="2" t="inlineStr">
        <is>
          <t>Shirō Hamaguchi &amp; Kōhei Tanaka</t>
        </is>
      </c>
      <c r="C433" s="2" t="inlineStr">
        <is>
          <t>normalized</t>
        </is>
      </c>
      <c r="D433" s="2" t="n">
        <v>1</v>
      </c>
    </row>
    <row r="434">
      <c r="A434" s="2" t="inlineStr">
        <is>
          <t>Original Artist Shuka Saito</t>
        </is>
      </c>
      <c r="B434" s="2" t="inlineStr">
        <is>
          <t>Shuka Saito</t>
        </is>
      </c>
      <c r="C434" s="2" t="inlineStr">
        <is>
          <t>normalized</t>
        </is>
      </c>
      <c r="D434" s="2" t="n">
        <v>1</v>
      </c>
    </row>
    <row r="435">
      <c r="A435" s="2" t="inlineStr">
        <is>
          <t>Shunsuke Kikuchi</t>
        </is>
      </c>
      <c r="B435" s="2" t="inlineStr">
        <is>
          <t>Shunsuke Kikuchi</t>
        </is>
      </c>
      <c r="C435" s="2" t="inlineStr">
        <is>
          <t>kept</t>
        </is>
      </c>
      <c r="D435" s="2" t="n">
        <v>1</v>
      </c>
    </row>
    <row r="436">
      <c r="A436" s="2" t="inlineStr">
        <is>
          <t>Sid Sriram</t>
        </is>
      </c>
      <c r="B436" s="2" t="inlineStr">
        <is>
          <t>Sid Sriram</t>
        </is>
      </c>
      <c r="C436" s="2" t="inlineStr">
        <is>
          <t>kept</t>
        </is>
      </c>
      <c r="D436" s="2" t="n">
        <v>1</v>
      </c>
    </row>
    <row r="437">
      <c r="A437" s="2" t="inlineStr">
        <is>
          <t>Sigismond Thalberg Op. 56</t>
        </is>
      </c>
      <c r="B437" s="2" t="inlineStr">
        <is>
          <t>Sigismond Thalberg</t>
        </is>
      </c>
      <c r="C437" s="2" t="inlineStr">
        <is>
          <t>normalized</t>
        </is>
      </c>
      <c r="D437" s="2" t="n">
        <v>1</v>
      </c>
    </row>
    <row r="438">
      <c r="A438" s="2" t="inlineStr">
        <is>
          <t>Simon Wetton</t>
        </is>
      </c>
      <c r="B438" s="2" t="inlineStr">
        <is>
          <t>Simon Wetton</t>
        </is>
      </c>
      <c r="C438" s="2" t="inlineStr">
        <is>
          <t>kept</t>
        </is>
      </c>
      <c r="D438" s="2" t="n">
        <v>1</v>
      </c>
    </row>
    <row r="439">
      <c r="A439" s="2" t="inlineStr">
        <is>
          <t>Sonya Belousova &amp; Giona Ostinelli Piano arrangement by Nicolas Del Gallo Full playthrough and more at https://www.youtube.com/c/NDGmusic If you want to donate, please check out my patreon ☺ https://www.patreon.com/ndg</t>
        </is>
      </c>
      <c r="B439" s="2" t="inlineStr">
        <is>
          <t>Sonya Belousova &amp; Giona Ostinelli</t>
        </is>
      </c>
      <c r="C439" s="2" t="inlineStr">
        <is>
          <t>normalized</t>
        </is>
      </c>
      <c r="D439" s="2" t="n">
        <v>1</v>
      </c>
    </row>
    <row r="440">
      <c r="A440" s="2" t="inlineStr">
        <is>
          <t>Stanisław Warduliński</t>
        </is>
      </c>
      <c r="B440" s="2" t="inlineStr">
        <is>
          <t>Stanisław Warduliński</t>
        </is>
      </c>
      <c r="C440" s="2" t="inlineStr">
        <is>
          <t>kept</t>
        </is>
      </c>
      <c r="D440" s="2" t="n">
        <v>1</v>
      </c>
    </row>
    <row r="441">
      <c r="A441" s="2" t="inlineStr">
        <is>
          <t>Stephen Foster</t>
        </is>
      </c>
      <c r="B441" s="2" t="inlineStr">
        <is>
          <t>Stephen Foster</t>
        </is>
      </c>
      <c r="C441" s="2" t="inlineStr">
        <is>
          <t>kept</t>
        </is>
      </c>
      <c r="D441" s="2" t="n">
        <v>1</v>
      </c>
    </row>
    <row r="442">
      <c r="A442" s="2" t="inlineStr">
        <is>
          <t>Stephen MacLellan</t>
        </is>
      </c>
      <c r="B442" s="2" t="inlineStr">
        <is>
          <t>Stephen MacLellan</t>
        </is>
      </c>
      <c r="C442" s="2" t="inlineStr">
        <is>
          <t>kept</t>
        </is>
      </c>
      <c r="D442" s="2" t="n">
        <v>1</v>
      </c>
    </row>
    <row r="443">
      <c r="A443" s="2" t="inlineStr">
        <is>
          <t>Stephen R. Henry</t>
        </is>
      </c>
      <c r="B443" s="2" t="inlineStr">
        <is>
          <t>Stephen R. Henry</t>
        </is>
      </c>
      <c r="C443" s="2" t="inlineStr">
        <is>
          <t>kept</t>
        </is>
      </c>
      <c r="D443" s="2" t="n">
        <v>1</v>
      </c>
    </row>
    <row r="444">
      <c r="A444" s="2" t="inlineStr">
        <is>
          <t>Stephy Loo</t>
        </is>
      </c>
      <c r="B444" s="2" t="inlineStr">
        <is>
          <t>Stephy Loo</t>
        </is>
      </c>
      <c r="C444" s="2" t="inlineStr">
        <is>
          <t>kept</t>
        </is>
      </c>
      <c r="D444" s="2" t="n">
        <v>1</v>
      </c>
    </row>
    <row r="445">
      <c r="A445" s="2" t="inlineStr">
        <is>
          <t>Steven Wan</t>
        </is>
      </c>
      <c r="B445" s="2" t="inlineStr">
        <is>
          <t>Steven Wan</t>
        </is>
      </c>
      <c r="C445" s="2" t="inlineStr">
        <is>
          <t>kept</t>
        </is>
      </c>
      <c r="D445" s="2" t="n">
        <v>1</v>
      </c>
    </row>
    <row r="446">
      <c r="A446" s="2" t="inlineStr">
        <is>
          <t>Surya Kant Sahu</t>
        </is>
      </c>
      <c r="B446" s="2" t="inlineStr">
        <is>
          <t>Surya Kant Sahu</t>
        </is>
      </c>
      <c r="C446" s="2" t="inlineStr">
        <is>
          <t>kept</t>
        </is>
      </c>
      <c r="D446" s="2" t="n">
        <v>1</v>
      </c>
    </row>
    <row r="447">
      <c r="A447" s="2" t="inlineStr">
        <is>
          <t>Sydney K. Russell</t>
        </is>
      </c>
      <c r="B447" s="2" t="inlineStr">
        <is>
          <t>Sydney K. Russell</t>
        </is>
      </c>
      <c r="C447" s="2" t="inlineStr">
        <is>
          <t>kept</t>
        </is>
      </c>
      <c r="D447" s="2" t="n">
        <v>1</v>
      </c>
    </row>
    <row r="448">
      <c r="A448" s="2" t="inlineStr">
        <is>
          <t>Kompozytor: Sławomir Ciecierski</t>
        </is>
      </c>
      <c r="B448" s="2" t="inlineStr">
        <is>
          <t>Sławomir Ciecierski</t>
        </is>
      </c>
      <c r="C448" s="2" t="inlineStr">
        <is>
          <t>normalized</t>
        </is>
      </c>
      <c r="D448" s="2" t="n">
        <v>1</v>
      </c>
    </row>
    <row r="449">
      <c r="A449" s="2" t="inlineStr">
        <is>
          <t>T. Latour</t>
        </is>
      </c>
      <c r="B449" s="2" t="inlineStr">
        <is>
          <t>T. Latour</t>
        </is>
      </c>
      <c r="C449" s="2" t="inlineStr">
        <is>
          <t>kept</t>
        </is>
      </c>
      <c r="D449" s="2" t="n">
        <v>1</v>
      </c>
    </row>
    <row r="450">
      <c r="A450" s="2" t="inlineStr">
        <is>
          <t>Original composition by Takeru Kanazaki</t>
        </is>
      </c>
      <c r="B450" s="2" t="inlineStr">
        <is>
          <t>Takeru Kanazaki</t>
        </is>
      </c>
      <c r="C450" s="2" t="inlineStr">
        <is>
          <t>normalized</t>
        </is>
      </c>
      <c r="D450" s="2" t="n">
        <v>1</v>
      </c>
    </row>
    <row r="451">
      <c r="A451" s="2" t="inlineStr">
        <is>
          <t>Original Music by Takeru Kanazaki</t>
        </is>
      </c>
      <c r="B451" s="2" t="inlineStr">
        <is>
          <t>Takeru Kanazaki</t>
        </is>
      </c>
      <c r="C451" s="2" t="inlineStr">
        <is>
          <t>normalized</t>
        </is>
      </c>
      <c r="D451" s="2" t="n">
        <v>1</v>
      </c>
    </row>
    <row r="452">
      <c r="A452" s="2" t="inlineStr">
        <is>
          <t>Takeru Kanazaki Yasuhisa Baba Takafumi Wada Sho Murakami</t>
        </is>
      </c>
      <c r="B452" s="2" t="inlineStr">
        <is>
          <t>Takeru Kanazaki, Yasuhisa Baba, Takafumi Wada &amp; Sho Murakami</t>
        </is>
      </c>
      <c r="C452" s="2" t="inlineStr">
        <is>
          <t>normalized</t>
        </is>
      </c>
      <c r="D452" s="2" t="n">
        <v>1</v>
      </c>
    </row>
    <row r="453">
      <c r="A453" s="2" t="inlineStr">
        <is>
          <t>Taro Bando and Soyo Oka</t>
        </is>
      </c>
      <c r="B453" s="2" t="inlineStr">
        <is>
          <t>Taro Bando &amp; Soyo Oka</t>
        </is>
      </c>
      <c r="C453" s="2" t="inlineStr">
        <is>
          <t>normalized</t>
        </is>
      </c>
      <c r="D453" s="2" t="n">
        <v>1</v>
      </c>
    </row>
    <row r="454">
      <c r="A454" s="2" t="inlineStr">
        <is>
          <t>Taru Omebayashi and Taku Matsushiba</t>
        </is>
      </c>
      <c r="B454" s="2" t="inlineStr">
        <is>
          <t>Taru Omebayashi &amp; Taku Matsushiba</t>
        </is>
      </c>
      <c r="C454" s="2" t="inlineStr">
        <is>
          <t>normalized</t>
        </is>
      </c>
      <c r="D454" s="2" t="n">
        <v>1</v>
      </c>
    </row>
    <row r="455">
      <c r="A455" s="2" t="inlineStr">
        <is>
          <t>Tatsuya Murayama</t>
        </is>
      </c>
      <c r="B455" s="2" t="inlineStr">
        <is>
          <t>Tatsuya Murayama</t>
        </is>
      </c>
      <c r="C455" s="2" t="inlineStr">
        <is>
          <t>kept</t>
        </is>
      </c>
      <c r="D455" s="2" t="n">
        <v>1</v>
      </c>
    </row>
    <row r="456">
      <c r="A456" s="2" t="inlineStr">
        <is>
          <t>Terwiliger "Thumbs" Malone</t>
        </is>
      </c>
      <c r="B456" s="2" t="inlineStr">
        <is>
          <t>Terwiliger "Thumbs" Malone</t>
        </is>
      </c>
      <c r="C456" s="2" t="inlineStr">
        <is>
          <t>kept</t>
        </is>
      </c>
      <c r="D456" s="2" t="n">
        <v>1</v>
      </c>
    </row>
    <row r="457">
      <c r="A457" s="2" t="inlineStr">
        <is>
          <t>Thaehan</t>
        </is>
      </c>
      <c r="B457" s="2" t="inlineStr">
        <is>
          <t>Thaehan</t>
        </is>
      </c>
      <c r="C457" s="2" t="inlineStr">
        <is>
          <t>kept</t>
        </is>
      </c>
      <c r="D457" s="2" t="n">
        <v>1</v>
      </c>
    </row>
    <row r="458">
      <c r="A458" s="2" t="inlineStr">
        <is>
          <t>The Oral Cigarettes</t>
        </is>
      </c>
      <c r="B458" s="2" t="inlineStr">
        <is>
          <t>The Oral Cigarettes</t>
        </is>
      </c>
      <c r="C458" s="2" t="inlineStr">
        <is>
          <t>kept</t>
        </is>
      </c>
      <c r="D458" s="2" t="n">
        <v>1</v>
      </c>
    </row>
    <row r="459">
      <c r="A459" s="2" t="inlineStr">
        <is>
          <t>The Weeknd</t>
        </is>
      </c>
      <c r="B459" s="2" t="inlineStr">
        <is>
          <t>The Weeknd</t>
        </is>
      </c>
      <c r="C459" s="2" t="inlineStr">
        <is>
          <t>kept</t>
        </is>
      </c>
      <c r="D459" s="2" t="n">
        <v>1</v>
      </c>
    </row>
    <row r="460">
      <c r="A460" s="2" t="inlineStr">
        <is>
          <t>Theo. O. Taubert</t>
        </is>
      </c>
      <c r="B460" s="2" t="inlineStr">
        <is>
          <t>Theo. O. Taubert</t>
        </is>
      </c>
      <c r="C460" s="2" t="inlineStr">
        <is>
          <t>kept</t>
        </is>
      </c>
      <c r="D460" s="2" t="n">
        <v>1</v>
      </c>
    </row>
    <row r="461">
      <c r="A461" s="2" t="inlineStr">
        <is>
          <t>THEOD. v. LA HACHE.</t>
        </is>
      </c>
      <c r="B461" s="2" t="inlineStr">
        <is>
          <t>Theodore von La Hache</t>
        </is>
      </c>
      <c r="C461" s="2" t="inlineStr">
        <is>
          <t>normalized</t>
        </is>
      </c>
      <c r="D461" s="2" t="n">
        <v>1</v>
      </c>
    </row>
    <row r="462">
      <c r="A462" s="2" t="inlineStr">
        <is>
          <t>Thom Yorke</t>
        </is>
      </c>
      <c r="B462" s="2" t="inlineStr">
        <is>
          <t>Thom Yorke</t>
        </is>
      </c>
      <c r="C462" s="2" t="inlineStr">
        <is>
          <t>kept</t>
        </is>
      </c>
      <c r="D462" s="2" t="n">
        <v>1</v>
      </c>
    </row>
    <row r="463">
      <c r="A463" s="2" t="inlineStr">
        <is>
          <t>Thomas Attwood</t>
        </is>
      </c>
      <c r="B463" s="2" t="inlineStr">
        <is>
          <t>Thomas Attwood</t>
        </is>
      </c>
      <c r="C463" s="2" t="inlineStr">
        <is>
          <t>kept</t>
        </is>
      </c>
      <c r="D463" s="2" t="n">
        <v>1</v>
      </c>
    </row>
    <row r="464">
      <c r="A464" s="2" t="inlineStr">
        <is>
          <t>Thomas Bergersen</t>
        </is>
      </c>
      <c r="B464" s="2" t="inlineStr">
        <is>
          <t>Thomas Bergersen</t>
        </is>
      </c>
      <c r="C464" s="2" t="inlineStr">
        <is>
          <t>kept</t>
        </is>
      </c>
      <c r="D464" s="2" t="n">
        <v>1</v>
      </c>
    </row>
    <row r="465">
      <c r="A465" s="2" t="inlineStr">
        <is>
          <t>Dr. Tim Smith (b. 1961)</t>
        </is>
      </c>
      <c r="B465" s="2" t="inlineStr">
        <is>
          <t>Tim Smith</t>
        </is>
      </c>
      <c r="C465" s="2" t="inlineStr">
        <is>
          <t>normalized</t>
        </is>
      </c>
      <c r="D465" s="2" t="n">
        <v>1</v>
      </c>
    </row>
    <row r="466">
      <c r="A466" s="2" t="inlineStr">
        <is>
          <t>Toby Fox</t>
        </is>
      </c>
      <c r="B466" s="2" t="inlineStr">
        <is>
          <t>Toby Fox</t>
        </is>
      </c>
      <c r="C466" s="2" t="inlineStr">
        <is>
          <t>kept</t>
        </is>
      </c>
      <c r="D466" s="2" t="n">
        <v>10</v>
      </c>
    </row>
    <row r="467">
      <c r="A467" s="2" t="inlineStr">
        <is>
          <t>Toby Fox (Arr. Lattice)</t>
        </is>
      </c>
      <c r="B467" s="2" t="inlineStr">
        <is>
          <t>Toby Fox</t>
        </is>
      </c>
      <c r="C467" s="2" t="inlineStr">
        <is>
          <t>normalized</t>
        </is>
      </c>
      <c r="D467" s="2" t="n">
        <v>1</v>
      </c>
    </row>
    <row r="468">
      <c r="A468" s="2" t="inlineStr">
        <is>
          <t>Tofiq Quliyev</t>
        </is>
      </c>
      <c r="B468" s="2" t="inlineStr">
        <is>
          <t>Tofiq Quliyev</t>
        </is>
      </c>
      <c r="C468" s="2" t="inlineStr">
        <is>
          <t>kept</t>
        </is>
      </c>
      <c r="D468" s="2" t="n">
        <v>1</v>
      </c>
    </row>
    <row r="469">
      <c r="A469" s="2" t="inlineStr">
        <is>
          <t>Toivo Kuula, Op. 3 No. 2</t>
        </is>
      </c>
      <c r="B469" s="2" t="inlineStr">
        <is>
          <t>Toivo Kuula</t>
        </is>
      </c>
      <c r="C469" s="2" t="inlineStr">
        <is>
          <t>normalized</t>
        </is>
      </c>
      <c r="D469" s="2" t="n">
        <v>1</v>
      </c>
    </row>
    <row r="470">
      <c r="A470" s="2" t="inlineStr">
        <is>
          <t>Tollie L Mitchell</t>
        </is>
      </c>
      <c r="B470" s="2" t="inlineStr">
        <is>
          <t>Tollie L Mitchell</t>
        </is>
      </c>
      <c r="C470" s="2" t="inlineStr">
        <is>
          <t>kept</t>
        </is>
      </c>
      <c r="D470" s="2" t="n">
        <v>1</v>
      </c>
    </row>
    <row r="471">
      <c r="A471" s="2" t="inlineStr">
        <is>
          <t>The Spicy Tom Brier (1996)</t>
        </is>
      </c>
      <c r="B471" s="2" t="inlineStr">
        <is>
          <t>Tom Brier</t>
        </is>
      </c>
      <c r="C471" s="2" t="inlineStr">
        <is>
          <t>normalized</t>
        </is>
      </c>
      <c r="D471" s="2" t="n">
        <v>1</v>
      </c>
    </row>
    <row r="472">
      <c r="A472" s="2" t="inlineStr">
        <is>
          <t>Tom "88 Fingers" Brier</t>
        </is>
      </c>
      <c r="B472" s="2" t="inlineStr">
        <is>
          <t>Tom Brier</t>
        </is>
      </c>
      <c r="C472" s="2" t="inlineStr">
        <is>
          <t>normalized</t>
        </is>
      </c>
      <c r="D472" s="2" t="n">
        <v>1</v>
      </c>
    </row>
    <row r="473">
      <c r="A473" s="2" t="inlineStr">
        <is>
          <t>Tom "Three-to-a-Beat" Brier</t>
        </is>
      </c>
      <c r="B473" s="2" t="inlineStr">
        <is>
          <t>Tom Brier</t>
        </is>
      </c>
      <c r="C473" s="2" t="inlineStr">
        <is>
          <t>normalized</t>
        </is>
      </c>
      <c r="D473" s="2" t="n">
        <v>1</v>
      </c>
    </row>
    <row r="474">
      <c r="A474" s="2" t="inlineStr">
        <is>
          <t>Tom Brier</t>
        </is>
      </c>
      <c r="B474" s="2" t="inlineStr">
        <is>
          <t>Tom Brier</t>
        </is>
      </c>
      <c r="C474" s="2" t="inlineStr">
        <is>
          <t>kept</t>
        </is>
      </c>
      <c r="D474" s="2" t="n">
        <v>7</v>
      </c>
    </row>
    <row r="475">
      <c r="A475" s="2" t="inlineStr">
        <is>
          <t>Tom Lehrer</t>
        </is>
      </c>
      <c r="B475" s="2" t="inlineStr">
        <is>
          <t>Tom Lehrer</t>
        </is>
      </c>
      <c r="C475" s="2" t="inlineStr">
        <is>
          <t>kept</t>
        </is>
      </c>
      <c r="D475" s="2" t="n">
        <v>1</v>
      </c>
    </row>
    <row r="476">
      <c r="A476" s="2" t="inlineStr">
        <is>
          <t>Tom Turpin.</t>
        </is>
      </c>
      <c r="B476" s="2" t="inlineStr">
        <is>
          <t>Tom Turpin</t>
        </is>
      </c>
      <c r="C476" s="2" t="inlineStr">
        <is>
          <t>normalized</t>
        </is>
      </c>
      <c r="D476" s="2" t="n">
        <v>1</v>
      </c>
    </row>
    <row r="477">
      <c r="A477" s="2" t="inlineStr">
        <is>
          <t>Tommy Heng</t>
        </is>
      </c>
      <c r="B477" s="2" t="inlineStr">
        <is>
          <t>Tommy Heng</t>
        </is>
      </c>
      <c r="C477" s="2" t="inlineStr">
        <is>
          <t>kept</t>
        </is>
      </c>
      <c r="D477" s="2" t="n">
        <v>1</v>
      </c>
    </row>
    <row r="478">
      <c r="A478" s="2" t="inlineStr">
        <is>
          <t>Tommy Tallarico</t>
        </is>
      </c>
      <c r="B478" s="2" t="inlineStr">
        <is>
          <t>Tommy Tallarico</t>
        </is>
      </c>
      <c r="C478" s="2" t="inlineStr">
        <is>
          <t>kept</t>
        </is>
      </c>
      <c r="D478" s="2" t="n">
        <v>1</v>
      </c>
    </row>
    <row r="479">
      <c r="A479" s="2" t="inlineStr">
        <is>
          <t>Tomokazu Tashiro</t>
        </is>
      </c>
      <c r="B479" s="2" t="inlineStr">
        <is>
          <t>Tomokazu Tashiro</t>
        </is>
      </c>
      <c r="C479" s="2" t="inlineStr">
        <is>
          <t>kept</t>
        </is>
      </c>
      <c r="D479" s="2" t="n">
        <v>1</v>
      </c>
    </row>
    <row r="480">
      <c r="A480" s="2" t="inlineStr">
        <is>
          <t>Tomoya Tomita</t>
        </is>
      </c>
      <c r="B480" s="2" t="inlineStr">
        <is>
          <t>Tomoya Tomita</t>
        </is>
      </c>
      <c r="C480" s="2" t="inlineStr">
        <is>
          <t>kept</t>
        </is>
      </c>
      <c r="D480" s="2" t="n">
        <v>1</v>
      </c>
    </row>
    <row r="481">
      <c r="A481" s="2" t="inlineStr">
        <is>
          <t>Tony Banks</t>
        </is>
      </c>
      <c r="B481" s="2" t="inlineStr">
        <is>
          <t>Tony Banks</t>
        </is>
      </c>
      <c r="C481" s="2" t="inlineStr">
        <is>
          <t>kept</t>
        </is>
      </c>
      <c r="D481" s="2" t="n">
        <v>1</v>
      </c>
    </row>
    <row r="482">
      <c r="A482" s="2" t="inlineStr">
        <is>
          <t>Cantiga Popular</t>
        </is>
      </c>
      <c r="B482" s="2" t="inlineStr">
        <is>
          <t>Traditional</t>
        </is>
      </c>
      <c r="C482" s="2" t="inlineStr">
        <is>
          <t>composer from score credits</t>
        </is>
      </c>
      <c r="D482" s="2" t="n">
        <v>1</v>
      </c>
    </row>
    <row r="483">
      <c r="A483" s="2" t="inlineStr">
        <is>
          <t>Tucker Dillan Dorjahn</t>
        </is>
      </c>
      <c r="B483" s="2" t="inlineStr">
        <is>
          <t>Tucker Dillan Dorjahn</t>
        </is>
      </c>
      <c r="C483" s="2" t="inlineStr">
        <is>
          <t>kept</t>
        </is>
      </c>
      <c r="D483" s="2" t="n">
        <v>1</v>
      </c>
    </row>
    <row r="484">
      <c r="A484" s="2" t="inlineStr">
        <is>
          <t>Valeriya Pingski</t>
        </is>
      </c>
      <c r="B484" s="2" t="inlineStr">
        <is>
          <t>Valeriya Pingski</t>
        </is>
      </c>
      <c r="C484" s="2" t="inlineStr">
        <is>
          <t>kept</t>
        </is>
      </c>
      <c r="D484" s="2" t="n">
        <v>1</v>
      </c>
    </row>
    <row r="485">
      <c r="A485" s="2" t="inlineStr">
        <is>
          <t>Vanros Kloud</t>
        </is>
      </c>
      <c r="B485" s="2" t="inlineStr">
        <is>
          <t>Vanros Kloud</t>
        </is>
      </c>
      <c r="C485" s="2" t="inlineStr">
        <is>
          <t>kept</t>
        </is>
      </c>
      <c r="D485" s="2" t="n">
        <v>1</v>
      </c>
    </row>
    <row r="486">
      <c r="A486" s="2" t="inlineStr">
        <is>
          <t>Vasily Kalinnikov</t>
        </is>
      </c>
      <c r="B486" s="2" t="inlineStr">
        <is>
          <t>Vasily Kalinnikov</t>
        </is>
      </c>
      <c r="C486" s="2" t="inlineStr">
        <is>
          <t>kept</t>
        </is>
      </c>
      <c r="D486" s="2" t="n">
        <v>1</v>
      </c>
    </row>
    <row r="487">
      <c r="A487" s="2" t="inlineStr">
        <is>
          <t>Vee Lawnhurst</t>
        </is>
      </c>
      <c r="B487" s="2" t="inlineStr">
        <is>
          <t>Vee Lawnhurst</t>
        </is>
      </c>
      <c r="C487" s="2" t="inlineStr">
        <is>
          <t>kept</t>
        </is>
      </c>
      <c r="D487" s="2" t="n">
        <v>1</v>
      </c>
    </row>
    <row r="488">
      <c r="A488" s="2" t="inlineStr">
        <is>
          <t>Verdusk</t>
        </is>
      </c>
      <c r="B488" s="2" t="inlineStr">
        <is>
          <t>Verdusk</t>
        </is>
      </c>
      <c r="C488" s="2" t="inlineStr">
        <is>
          <t>kept</t>
        </is>
      </c>
      <c r="D488" s="2" t="n">
        <v>1</v>
      </c>
    </row>
    <row r="489">
      <c r="A489" s="2" t="inlineStr">
        <is>
          <t>Victor Stroganov</t>
        </is>
      </c>
      <c r="B489" s="2" t="inlineStr">
        <is>
          <t>Victor Stroganov</t>
        </is>
      </c>
      <c r="C489" s="2" t="inlineStr">
        <is>
          <t>kept</t>
        </is>
      </c>
      <c r="D489" s="2" t="n">
        <v>2</v>
      </c>
    </row>
    <row r="490">
      <c r="A490" s="2" t="inlineStr">
        <is>
          <t>Vigo Kovačić</t>
        </is>
      </c>
      <c r="B490" s="2" t="inlineStr">
        <is>
          <t>Vigo Kovačić</t>
        </is>
      </c>
      <c r="C490" s="2" t="inlineStr">
        <is>
          <t>kept</t>
        </is>
      </c>
      <c r="D490" s="2" t="n">
        <v>1</v>
      </c>
    </row>
    <row r="491">
      <c r="A491" s="2" t="inlineStr">
        <is>
          <t>Viktor Kosenko</t>
        </is>
      </c>
      <c r="B491" s="2" t="inlineStr">
        <is>
          <t>Viktor Kosenko</t>
        </is>
      </c>
      <c r="C491" s="2" t="inlineStr">
        <is>
          <t>kept</t>
        </is>
      </c>
      <c r="D491" s="2" t="n">
        <v>2</v>
      </c>
    </row>
    <row r="492">
      <c r="A492" s="2" t="inlineStr">
        <is>
          <t>W. C. Simon.</t>
        </is>
      </c>
      <c r="B492" s="2" t="inlineStr">
        <is>
          <t>W. C. Simon</t>
        </is>
      </c>
      <c r="C492" s="2" t="inlineStr">
        <is>
          <t>normalized</t>
        </is>
      </c>
      <c r="D492" s="2" t="n">
        <v>1</v>
      </c>
    </row>
    <row r="493">
      <c r="A493" s="2" t="inlineStr">
        <is>
          <t>W. G. Snuffy Walden</t>
        </is>
      </c>
      <c r="B493" s="2" t="inlineStr">
        <is>
          <t>W. G. Snuffy Walden</t>
        </is>
      </c>
      <c r="C493" s="2" t="inlineStr">
        <is>
          <t>kept</t>
        </is>
      </c>
      <c r="D493" s="2" t="n">
        <v>1</v>
      </c>
    </row>
    <row r="494">
      <c r="A494" s="2" t="inlineStr">
        <is>
          <t>W. H. Krell</t>
        </is>
      </c>
      <c r="B494" s="2" t="inlineStr">
        <is>
          <t>W. H. Krell</t>
        </is>
      </c>
      <c r="C494" s="2" t="inlineStr">
        <is>
          <t>kept</t>
        </is>
      </c>
      <c r="D494" s="2" t="n">
        <v>1</v>
      </c>
    </row>
    <row r="495">
      <c r="A495" s="2" t="inlineStr">
        <is>
          <t>W. H. Krell.</t>
        </is>
      </c>
      <c r="B495" s="2" t="inlineStr">
        <is>
          <t>W. H. Krell</t>
        </is>
      </c>
      <c r="C495" s="2" t="inlineStr">
        <is>
          <t>normalized</t>
        </is>
      </c>
      <c r="D495" s="2" t="n">
        <v>1</v>
      </c>
    </row>
    <row r="496">
      <c r="A496" s="2" t="inlineStr">
        <is>
          <t>W. L. Needham</t>
        </is>
      </c>
      <c r="B496" s="2" t="inlineStr">
        <is>
          <t>W. L. Needham</t>
        </is>
      </c>
      <c r="C496" s="2" t="inlineStr">
        <is>
          <t>kept</t>
        </is>
      </c>
      <c r="D496" s="2" t="n">
        <v>1</v>
      </c>
    </row>
    <row r="497">
      <c r="A497" s="2" t="inlineStr">
        <is>
          <t>W. P. Johnston.</t>
        </is>
      </c>
      <c r="B497" s="2" t="inlineStr">
        <is>
          <t>W. P. Johnston</t>
        </is>
      </c>
      <c r="C497" s="2" t="inlineStr">
        <is>
          <t>normalized</t>
        </is>
      </c>
      <c r="D497" s="2" t="n">
        <v>1</v>
      </c>
    </row>
    <row r="498">
      <c r="A498" s="2" t="inlineStr">
        <is>
          <t>W.R.chang</t>
        </is>
      </c>
      <c r="B498" s="2" t="inlineStr">
        <is>
          <t>W. R. Chang</t>
        </is>
      </c>
      <c r="C498" s="2" t="inlineStr">
        <is>
          <t>normalized</t>
        </is>
      </c>
      <c r="D498" s="2" t="n">
        <v>1</v>
      </c>
    </row>
    <row r="499">
      <c r="A499" s="2" t="inlineStr">
        <is>
          <t>Webb Long</t>
        </is>
      </c>
      <c r="B499" s="2" t="inlineStr">
        <is>
          <t>Webb Long</t>
        </is>
      </c>
      <c r="C499" s="2" t="inlineStr">
        <is>
          <t>kept</t>
        </is>
      </c>
      <c r="D499" s="2" t="n">
        <v>1</v>
      </c>
    </row>
    <row r="500">
      <c r="A500" s="2" t="inlineStr">
        <is>
          <t>William D. Slover</t>
        </is>
      </c>
      <c r="B500" s="2" t="inlineStr">
        <is>
          <t>William D. Slover</t>
        </is>
      </c>
      <c r="C500" s="2" t="inlineStr">
        <is>
          <t>kept</t>
        </is>
      </c>
      <c r="D500" s="2" t="n">
        <v>1</v>
      </c>
    </row>
    <row r="501">
      <c r="A501" s="2" t="inlineStr">
        <is>
          <t>William Duncombe</t>
        </is>
      </c>
      <c r="B501" s="2" t="inlineStr">
        <is>
          <t>William Duncombe</t>
        </is>
      </c>
      <c r="C501" s="2" t="inlineStr">
        <is>
          <t>kept</t>
        </is>
      </c>
      <c r="D501" s="2" t="n">
        <v>1</v>
      </c>
    </row>
    <row r="502">
      <c r="A502" s="2" t="inlineStr">
        <is>
          <t>William Fung</t>
        </is>
      </c>
      <c r="B502" s="2" t="inlineStr">
        <is>
          <t>William Fung</t>
        </is>
      </c>
      <c r="C502" s="2" t="inlineStr">
        <is>
          <t>kept</t>
        </is>
      </c>
      <c r="D502" s="2" t="n">
        <v>1</v>
      </c>
    </row>
    <row r="503">
      <c r="A503" s="2" t="inlineStr">
        <is>
          <t>William H. Penn.</t>
        </is>
      </c>
      <c r="B503" s="2" t="inlineStr">
        <is>
          <t>William H. Penn</t>
        </is>
      </c>
      <c r="C503" s="2" t="inlineStr">
        <is>
          <t>normalized</t>
        </is>
      </c>
      <c r="D503" s="2" t="n">
        <v>1</v>
      </c>
    </row>
    <row r="504">
      <c r="A504" s="2" t="inlineStr">
        <is>
          <t>Wim Mertens</t>
        </is>
      </c>
      <c r="B504" s="2" t="inlineStr">
        <is>
          <t>Wim Mertens</t>
        </is>
      </c>
      <c r="C504" s="2" t="inlineStr">
        <is>
          <t>kept</t>
        </is>
      </c>
      <c r="D504" s="2" t="n">
        <v>2</v>
      </c>
    </row>
    <row r="505">
      <c r="A505" s="2" t="inlineStr">
        <is>
          <t>Wladislaw Leszczewski</t>
        </is>
      </c>
      <c r="B505" s="2" t="inlineStr">
        <is>
          <t>Wladislaw Leszczewski</t>
        </is>
      </c>
      <c r="C505" s="2" t="inlineStr">
        <is>
          <t>kept</t>
        </is>
      </c>
      <c r="D505" s="2" t="n">
        <v>1</v>
      </c>
    </row>
    <row r="506">
      <c r="A506" s="2" t="inlineStr">
        <is>
          <t>Hans Lee</t>
        </is>
      </c>
      <c r="B506" s="2" t="inlineStr">
        <is>
          <t>xi</t>
        </is>
      </c>
      <c r="C506" s="2" t="inlineStr">
        <is>
          <t>composer from score credits</t>
        </is>
      </c>
      <c r="D506" s="2" t="n">
        <v>1</v>
      </c>
    </row>
    <row r="507">
      <c r="A507" s="2" t="inlineStr">
        <is>
          <t>Xy Lee</t>
        </is>
      </c>
      <c r="B507" s="2" t="inlineStr">
        <is>
          <t>Xy Lee</t>
        </is>
      </c>
      <c r="C507" s="2" t="inlineStr">
        <is>
          <t>kept</t>
        </is>
      </c>
      <c r="D507" s="2" t="n">
        <v>1</v>
      </c>
    </row>
    <row r="508">
      <c r="A508" s="2" t="inlineStr">
        <is>
          <t>Yasuaki Fujita</t>
        </is>
      </c>
      <c r="B508" s="2" t="inlineStr">
        <is>
          <t>Yasuaki Fujita</t>
        </is>
      </c>
      <c r="C508" s="2" t="inlineStr">
        <is>
          <t>kept</t>
        </is>
      </c>
      <c r="D508" s="2" t="n">
        <v>1</v>
      </c>
    </row>
    <row r="509">
      <c r="A509" s="2" t="inlineStr">
        <is>
          <t>Yasunori Mitsuda</t>
        </is>
      </c>
      <c r="B509" s="2" t="inlineStr">
        <is>
          <t>Yasunori Mitsuda</t>
        </is>
      </c>
      <c r="C509" s="2" t="inlineStr">
        <is>
          <t>kept</t>
        </is>
      </c>
      <c r="D509" s="2" t="n">
        <v>1</v>
      </c>
    </row>
    <row r="510">
      <c r="A510" s="2" t="inlineStr">
        <is>
          <t>Yohei Kato * 加藤 洋平</t>
        </is>
      </c>
      <c r="B510" s="2" t="inlineStr">
        <is>
          <t>Yohei Kato</t>
        </is>
      </c>
      <c r="C510" s="2" t="inlineStr">
        <is>
          <t>normalized</t>
        </is>
      </c>
      <c r="D510" s="2" t="n">
        <v>128</v>
      </c>
    </row>
    <row r="511">
      <c r="A511" s="2" t="inlineStr">
        <is>
          <t>Yohei Kato * 加藤洋平</t>
        </is>
      </c>
      <c r="B511" s="2" t="inlineStr">
        <is>
          <t>Yohei Kato</t>
        </is>
      </c>
      <c r="C511" s="2" t="inlineStr">
        <is>
          <t>normalized</t>
        </is>
      </c>
      <c r="D511" s="2" t="n">
        <v>1</v>
      </c>
    </row>
    <row r="512">
      <c r="A512" s="2" t="inlineStr">
        <is>
          <t>Yoko Shimomura</t>
        </is>
      </c>
      <c r="B512" s="2" t="inlineStr">
        <is>
          <t>Yoko Shimomura</t>
        </is>
      </c>
      <c r="C512" s="2" t="inlineStr">
        <is>
          <t>kept</t>
        </is>
      </c>
      <c r="D512" s="2" t="n">
        <v>2</v>
      </c>
    </row>
    <row r="513">
      <c r="A513" s="2" t="inlineStr">
        <is>
          <t>Original By: Yugo Kanno</t>
        </is>
      </c>
      <c r="B513" s="2" t="inlineStr">
        <is>
          <t>Yugo Kanno</t>
        </is>
      </c>
      <c r="C513" s="2" t="inlineStr">
        <is>
          <t>normalized</t>
        </is>
      </c>
      <c r="D513" s="2" t="n">
        <v>1</v>
      </c>
    </row>
    <row r="514">
      <c r="A514" s="2" t="inlineStr">
        <is>
          <t>Yugo</t>
        </is>
      </c>
      <c r="B514" s="2" t="inlineStr">
        <is>
          <t>Yugo Kanno</t>
        </is>
      </c>
      <c r="C514" s="2" t="inlineStr">
        <is>
          <t>normalized</t>
        </is>
      </c>
      <c r="D514" s="2" t="n">
        <v>1</v>
      </c>
    </row>
    <row r="515">
      <c r="A515" s="2" t="inlineStr">
        <is>
          <t>Yuhua</t>
        </is>
      </c>
      <c r="B515" s="2" t="inlineStr">
        <is>
          <t>Yuhua Zhang</t>
        </is>
      </c>
      <c r="C515" s="2" t="inlineStr">
        <is>
          <t>normalized</t>
        </is>
      </c>
      <c r="D515" s="2" t="n">
        <v>1</v>
      </c>
    </row>
    <row r="516">
      <c r="A516" s="2" t="inlineStr">
        <is>
          <t>Yuki Hayashi Arrangement by</t>
        </is>
      </c>
      <c r="B516" s="2" t="inlineStr">
        <is>
          <t>Yuki Hayashi</t>
        </is>
      </c>
      <c r="C516" s="2" t="inlineStr">
        <is>
          <t>normalized</t>
        </is>
      </c>
      <c r="D516" s="2" t="n">
        <v>1</v>
      </c>
    </row>
    <row r="517">
      <c r="A517" s="2" t="inlineStr">
        <is>
          <t>Zellah Edith</t>
        </is>
      </c>
      <c r="B517" s="2" t="inlineStr">
        <is>
          <t>Zellah Edith</t>
        </is>
      </c>
      <c r="C517" s="2" t="inlineStr">
        <is>
          <t>kept</t>
        </is>
      </c>
      <c r="D517" s="2" t="n">
        <v>2</v>
      </c>
    </row>
    <row r="518">
      <c r="A518" s="2" t="inlineStr">
        <is>
          <t>Zequinha</t>
        </is>
      </c>
      <c r="B518" s="2" t="inlineStr">
        <is>
          <t>Zequinha de Abreu</t>
        </is>
      </c>
      <c r="C518" s="2" t="inlineStr">
        <is>
          <t>normalized</t>
        </is>
      </c>
      <c r="D518" s="2" t="n">
        <v>1</v>
      </c>
    </row>
    <row r="519">
      <c r="A519" s="2" t="inlineStr">
        <is>
          <t>Zez Confrey</t>
        </is>
      </c>
      <c r="B519" s="2" t="inlineStr">
        <is>
          <t>Zez Confrey</t>
        </is>
      </c>
      <c r="C519" s="2" t="inlineStr">
        <is>
          <t>kept</t>
        </is>
      </c>
      <c r="D519" s="2" t="n">
        <v>2</v>
      </c>
    </row>
    <row r="520">
      <c r="A520" s="2" t="inlineStr">
        <is>
          <t>Zun</t>
        </is>
      </c>
      <c r="B520" s="2" t="inlineStr">
        <is>
          <t>ZUN</t>
        </is>
      </c>
      <c r="C520" s="2" t="inlineStr">
        <is>
          <t>normalized</t>
        </is>
      </c>
      <c r="D520" s="2" t="n">
        <v>1</v>
      </c>
    </row>
    <row r="521">
      <c r="A521" s="2" t="inlineStr">
        <is>
          <t>γπο ΑΚΡΙΒΗΣ ΑΝΕΜΟΓΙΑΝΝΗ</t>
        </is>
      </c>
      <c r="B521" s="2" t="inlineStr">
        <is>
          <t>Ακριβή Ανεμογιάννη</t>
        </is>
      </c>
      <c r="C521" s="2" t="inlineStr">
        <is>
          <t>normalized</t>
        </is>
      </c>
      <c r="D521" s="2" t="n">
        <v>1</v>
      </c>
    </row>
    <row r="522">
      <c r="A522" s="2" t="inlineStr">
        <is>
          <t>А. В. Александров</t>
        </is>
      </c>
      <c r="B522" s="2" t="inlineStr">
        <is>
          <t>А. В. Александров</t>
        </is>
      </c>
      <c r="C522" s="2" t="inlineStr">
        <is>
          <t>kept</t>
        </is>
      </c>
      <c r="D522" s="2" t="n">
        <v>1</v>
      </c>
    </row>
    <row r="523">
      <c r="A523" s="2" t="inlineStr">
        <is>
          <t>соч. Б. Ф. КЕЙЛЬ, op.174.</t>
        </is>
      </c>
      <c r="B523" s="2" t="inlineStr">
        <is>
          <t>Б. Ф. Кейль</t>
        </is>
      </c>
      <c r="C523" s="2" t="inlineStr">
        <is>
          <t>normalized</t>
        </is>
      </c>
      <c r="D523" s="2" t="n">
        <v>1</v>
      </c>
    </row>
    <row r="524">
      <c r="A524" s="2" t="inlineStr">
        <is>
          <t>Музыка Б. И. ФОМИНА</t>
        </is>
      </c>
      <c r="B524" s="2" t="inlineStr">
        <is>
          <t>Борис Фомин</t>
        </is>
      </c>
      <c r="C524" s="2" t="inlineStr">
        <is>
          <t>normalized</t>
        </is>
      </c>
      <c r="D524" s="2" t="n">
        <v>1</v>
      </c>
    </row>
    <row r="525">
      <c r="A525" s="2" t="inlineStr">
        <is>
          <t>Соч. В. А. ПРИСОВСКАГО.</t>
        </is>
      </c>
      <c r="B525" s="2" t="inlineStr">
        <is>
          <t>В. А. Присовский</t>
        </is>
      </c>
      <c r="C525" s="2" t="inlineStr">
        <is>
          <t>normalized</t>
        </is>
      </c>
      <c r="D525" s="2" t="n">
        <v>1</v>
      </c>
    </row>
    <row r="526">
      <c r="A526" s="2" t="inlineStr">
        <is>
          <t>Григорий Гладков</t>
        </is>
      </c>
      <c r="B526" s="2" t="inlineStr">
        <is>
          <t>Григорий Гладков</t>
        </is>
      </c>
      <c r="C526" s="2" t="inlineStr">
        <is>
          <t>kept</t>
        </is>
      </c>
      <c r="D526" s="2" t="n">
        <v>1</v>
      </c>
    </row>
    <row r="527">
      <c r="A527" s="2" t="inlineStr">
        <is>
          <t>К. Лоншан-Друшкевичова</t>
        </is>
      </c>
      <c r="B527" s="2" t="inlineStr">
        <is>
          <t>К. Лоншан-Друшкевичова</t>
        </is>
      </c>
      <c r="C527" s="2" t="inlineStr">
        <is>
          <t>kept</t>
        </is>
      </c>
      <c r="D527" s="2" t="n">
        <v>1</v>
      </c>
    </row>
    <row r="528">
      <c r="A528" s="2" t="inlineStr">
        <is>
          <t>Музыка Матвея БЛАНТЕРА</t>
        </is>
      </c>
      <c r="B528" s="2" t="inlineStr">
        <is>
          <t>Матвей Блантер</t>
        </is>
      </c>
      <c r="C528" s="2" t="inlineStr">
        <is>
          <t>normalized</t>
        </is>
      </c>
      <c r="D528" s="2" t="n">
        <v>1</v>
      </c>
    </row>
    <row r="529">
      <c r="A529" s="2" t="inlineStr">
        <is>
          <t>С.Ейбог</t>
        </is>
      </c>
      <c r="B529" s="2" t="inlineStr">
        <is>
          <t>С. Ейбог</t>
        </is>
      </c>
      <c r="C529" s="2" t="inlineStr">
        <is>
          <t>normalized</t>
        </is>
      </c>
      <c r="D529" s="2" t="n">
        <v>1</v>
      </c>
    </row>
    <row r="530">
      <c r="A530" s="2" t="inlineStr">
        <is>
          <t>ああああ</t>
        </is>
      </c>
      <c r="B530" s="2" t="inlineStr">
        <is>
          <t>ああああ</t>
        </is>
      </c>
      <c r="C530" s="2" t="inlineStr">
        <is>
          <t>kept</t>
        </is>
      </c>
      <c r="D530" s="2" t="n">
        <v>1</v>
      </c>
    </row>
    <row r="531">
      <c r="A531" s="2" t="inlineStr">
        <is>
          <t>容祖兒</t>
        </is>
      </c>
      <c r="B531" s="2" t="inlineStr">
        <is>
          <t>容祖兒</t>
        </is>
      </c>
      <c r="C531" s="2" t="inlineStr">
        <is>
          <t>kept</t>
        </is>
      </c>
      <c r="D531" s="2" t="n">
        <v>1</v>
      </c>
    </row>
    <row r="532">
      <c r="A532" s="2" t="inlineStr">
        <is>
          <t>林俊杰</t>
        </is>
      </c>
      <c r="B532" s="2" t="inlineStr">
        <is>
          <t>林俊杰</t>
        </is>
      </c>
      <c r="C532" s="2" t="inlineStr">
        <is>
          <t>kept</t>
        </is>
      </c>
      <c r="D532" s="2" t="n">
        <v>1</v>
      </c>
    </row>
    <row r="533">
      <c r="A533" s="2" t="inlineStr">
        <is>
          <t>柊昇華/サブチャンネル</t>
        </is>
      </c>
      <c r="B533" s="2" t="inlineStr">
        <is>
          <t>柊昇華/サブチャンネル</t>
        </is>
      </c>
      <c r="C533" s="2" t="inlineStr">
        <is>
          <t>kept</t>
        </is>
      </c>
      <c r="D533" s="2" t="n">
        <v>1</v>
      </c>
    </row>
    <row r="534">
      <c r="A534" s="2" t="inlineStr">
        <is>
          <t>菊谷知樹</t>
        </is>
      </c>
      <c r="B534" s="2" t="inlineStr">
        <is>
          <t>菊谷知樹</t>
        </is>
      </c>
      <c r="C534" s="2" t="inlineStr">
        <is>
          <t>kept</t>
        </is>
      </c>
      <c r="D534" s="2" t="n">
        <v>1</v>
      </c>
    </row>
    <row r="535">
      <c r="A535" s="2" t="inlineStr">
        <is>
          <t>蔡新泽</t>
        </is>
      </c>
      <c r="B535" s="2" t="inlineStr">
        <is>
          <t>蔡新泽</t>
        </is>
      </c>
      <c r="C535" s="2" t="inlineStr">
        <is>
          <t>kept</t>
        </is>
      </c>
      <c r="D535" s="2" t="n">
        <v>1</v>
      </c>
    </row>
    <row r="536">
      <c r="A536" s="2" t="inlineStr">
        <is>
          <t>鄧紫棋</t>
        </is>
      </c>
      <c r="B536" s="2" t="inlineStr">
        <is>
          <t>鄧紫棋</t>
        </is>
      </c>
      <c r="C536" s="2" t="inlineStr">
        <is>
          <t>kept</t>
        </is>
      </c>
      <c r="D536" s="2" t="n">
        <v>1</v>
      </c>
    </row>
    <row r="537">
      <c r="A537" s="2" t="inlineStr">
        <is>
          <t>방탄소년단</t>
        </is>
      </c>
      <c r="B537" s="2" t="inlineStr">
        <is>
          <t>방탄소년단</t>
        </is>
      </c>
      <c r="C537" s="2" t="inlineStr">
        <is>
          <t>kept</t>
        </is>
      </c>
      <c r="D537" s="2" t="n">
        <v>1</v>
      </c>
    </row>
    <row r="538">
      <c r="A538" s="2" t="inlineStr">
        <is>
          <t>이수겠지</t>
        </is>
      </c>
      <c r="B538" s="2" t="inlineStr">
        <is>
          <t>이수겠지</t>
        </is>
      </c>
      <c r="C538" s="2" t="inlineStr">
        <is>
          <t>kept</t>
        </is>
      </c>
      <c r="D538" s="2" t="n">
        <v>1</v>
      </c>
    </row>
  </sheetData>
  <autoFilter ref="A1:D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2026-10-24T09:56:28Z</dcterms:created>
  <dcterms:modified xsi:type="dcterms:W3CDTF">2026-10-29T23:02:35Z</dcterms:modified>
</cp:coreProperties>
</file>